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9C932344-EDAA-40F5-9341-F943C306870C}" xr6:coauthVersionLast="47" xr6:coauthVersionMax="47" xr10:uidLastSave="{00000000-0000-0000-0000-000000000000}"/>
  <bookViews>
    <workbookView xWindow="22932" yWindow="-108" windowWidth="22320" windowHeight="13176" xr2:uid="{00000000-000D-0000-FFFF-FFFF00000000}"/>
  </bookViews>
  <sheets>
    <sheet name="Overview" sheetId="18" r:id="rId1"/>
    <sheet name="Event_logs" sheetId="2" r:id="rId2"/>
    <sheet name="block load survey" sheetId="4" r:id="rId3"/>
    <sheet name="activity_calendar" sheetId="6" r:id="rId4"/>
    <sheet name="billing_param" sheetId="8" r:id="rId5"/>
    <sheet name="Single Action" sheetId="9" r:id="rId6"/>
    <sheet name="Instataneous Param" sheetId="10" r:id="rId7"/>
    <sheet name="password" sheetId="14" r:id="rId8"/>
    <sheet name="misc" sheetId="17" r:id="rId9"/>
    <sheet name="dailyload" sheetId="16" r:id="rId10"/>
    <sheet name="Extra" sheetId="20" r:id="rId11"/>
  </sheets>
  <definedNames>
    <definedName name="act_cal_base_address">activity_calendar!$P$2</definedName>
    <definedName name="ADDR_OTHERS">misc!$S$3</definedName>
    <definedName name="BILLING_SCHEDULE_ADDRESS">'Single Action'!#REF!</definedName>
    <definedName name="BILLING_SCHEDULE_ADDRESS_1PHASE">'Single Action'!$Q$2</definedName>
    <definedName name="BILLING_SCHEDULE_BASE_1PHASE">'Single Action'!$Q$2</definedName>
    <definedName name="BILLINGPARAM_BASEADDRESS">billing_param!#REF!</definedName>
    <definedName name="billingparamaddress">billing_param!#REF!</definedName>
    <definedName name="BILLINGPARAMBASEADDRESS_1PHASE">billing_param!$O$3</definedName>
    <definedName name="DAILYLOAD_BASEADDRESS_3PHASE">dailyload!#REF!</definedName>
    <definedName name="DAILYLOADSURVEYBASEADDRESS_1phase">dailyload!$S$1</definedName>
    <definedName name="DLMS_EEPROM_START_ADDRESS__in_HEX">Event_logs!#REF!</definedName>
    <definedName name="DLNS_NUMBYTESTOSTORE_3PHASE">dailyload!#REF!</definedName>
    <definedName name="DLS_MAXDAYS">dailyload!$J$1</definedName>
    <definedName name="DLS_MAXDAYS_60">dailyload!$L$1</definedName>
    <definedName name="DLS_numbytestostore_1phase">dailyload!$P$1</definedName>
    <definedName name="INSTANTANEOUS_BASEADDR">'Instataneous Param'!#REF!</definedName>
    <definedName name="INSTANTANEOUS_BASEADDR_1PHASE">'Instataneous Param'!$F$3</definedName>
    <definedName name="LOAD_SURVEY_BASE_ADRESS">'block load survey'!$S$1</definedName>
    <definedName name="LOAD_SURVEY_BASE_ADRESS_1phase">'block load survey'!$S$1</definedName>
    <definedName name="LOADSURVEY_REF_ADDRESS">'block load survey'!$V$1</definedName>
    <definedName name="loadsurveybaseaddress">'block load survey'!#REF!</definedName>
    <definedName name="loadsurveyref_address">'block load survey'!#REF!</definedName>
    <definedName name="MD_NUMBYTES">billing_param!#REF!</definedName>
    <definedName name="MD_SLOTS">billing_param!#REF!</definedName>
    <definedName name="MISC_OTHERS">misc!#REF!</definedName>
    <definedName name="numberofbytes_to_store_1phase">billing_param!$L$3</definedName>
    <definedName name="numberofbytes_tostore_1phase">'block load survey'!$P$1</definedName>
    <definedName name="NUMBYTES">'block load survey'!#REF!</definedName>
    <definedName name="PASSWORD_BASE_ADDRESS">password!#REF!</definedName>
    <definedName name="PASSWORD_BASE_ADDRESS_1PHASE">password!$P$3</definedName>
    <definedName name="sizeof_event_buffer" comment="size of event buffer" localSheetId="1">Event_logs!$D$5</definedName>
    <definedName name="slots_per_day_1phase">'block load survey'!$L$1</definedName>
    <definedName name="SLOTSPERDAY">'block load survey'!#REF!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0" l="1"/>
  <c r="F10" i="16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9" i="16"/>
  <c r="F8" i="16"/>
  <c r="P2" i="6"/>
  <c r="G74" i="4" l="1"/>
  <c r="G75" i="4" s="1"/>
  <c r="G73" i="4"/>
  <c r="Q75" i="4" l="1"/>
  <c r="I22" i="2"/>
  <c r="I23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D22" i="2"/>
  <c r="D16" i="2"/>
  <c r="D17" i="2" s="1"/>
  <c r="D18" i="2" s="1"/>
  <c r="D19" i="2" s="1"/>
  <c r="D20" i="2" s="1"/>
  <c r="D21" i="2" s="1"/>
  <c r="D13" i="2"/>
  <c r="D14" i="2" s="1"/>
  <c r="D15" i="2" s="1"/>
  <c r="D9" i="2"/>
  <c r="D10" i="2" s="1"/>
  <c r="D11" i="2" s="1"/>
  <c r="D12" i="2" s="1"/>
  <c r="D8" i="2"/>
  <c r="E7" i="2"/>
  <c r="L14" i="2"/>
  <c r="D21" i="8" l="1"/>
  <c r="D22" i="8"/>
  <c r="D23" i="8"/>
  <c r="D24" i="8"/>
  <c r="D25" i="8"/>
  <c r="D26" i="8"/>
  <c r="BG3" i="16" l="1"/>
  <c r="AX4" i="4"/>
  <c r="AX5" i="4" s="1"/>
  <c r="AW4" i="4"/>
  <c r="AW5" i="4" s="1"/>
  <c r="AY3" i="4"/>
  <c r="AZ3" i="4" s="1"/>
  <c r="H5" i="2"/>
  <c r="AY4" i="4" l="1"/>
  <c r="AZ4" i="4" s="1"/>
  <c r="AW6" i="4"/>
  <c r="AW7" i="4"/>
  <c r="AY5" i="4"/>
  <c r="AY6" i="4" s="1"/>
  <c r="AY7" i="4" s="1"/>
  <c r="AY8" i="4" s="1"/>
  <c r="AY9" i="4" s="1"/>
  <c r="AY10" i="4" s="1"/>
  <c r="AY11" i="4" s="1"/>
  <c r="AY12" i="4" s="1"/>
  <c r="AY13" i="4" s="1"/>
  <c r="AY14" i="4" s="1"/>
  <c r="AY15" i="4" s="1"/>
  <c r="AY16" i="4" s="1"/>
  <c r="AY17" i="4" s="1"/>
  <c r="AY18" i="4" s="1"/>
  <c r="AY19" i="4" s="1"/>
  <c r="AY20" i="4" s="1"/>
  <c r="AY21" i="4" s="1"/>
  <c r="AY22" i="4" s="1"/>
  <c r="AY23" i="4" s="1"/>
  <c r="AY24" i="4" s="1"/>
  <c r="AY25" i="4" s="1"/>
  <c r="AY26" i="4" s="1"/>
  <c r="AY27" i="4" s="1"/>
  <c r="AY28" i="4" s="1"/>
  <c r="AY29" i="4" s="1"/>
  <c r="AY30" i="4" s="1"/>
  <c r="AY31" i="4" s="1"/>
  <c r="AY32" i="4" s="1"/>
  <c r="AY33" i="4" s="1"/>
  <c r="AY34" i="4" s="1"/>
  <c r="AY35" i="4" s="1"/>
  <c r="AY36" i="4" s="1"/>
  <c r="AY37" i="4" s="1"/>
  <c r="AY38" i="4" s="1"/>
  <c r="AY39" i="4" s="1"/>
  <c r="AY40" i="4" s="1"/>
  <c r="AY41" i="4" s="1"/>
  <c r="AY42" i="4" s="1"/>
  <c r="AY43" i="4" s="1"/>
  <c r="AY44" i="4" s="1"/>
  <c r="AY45" i="4" s="1"/>
  <c r="AY46" i="4" s="1"/>
  <c r="AY47" i="4" s="1"/>
  <c r="AY48" i="4" s="1"/>
  <c r="AY49" i="4" s="1"/>
  <c r="AY50" i="4" s="1"/>
  <c r="AX6" i="4"/>
  <c r="AX7" i="4" s="1"/>
  <c r="AX8" i="4" s="1"/>
  <c r="AX9" i="4" s="1"/>
  <c r="AX10" i="4" s="1"/>
  <c r="AX11" i="4" s="1"/>
  <c r="AX12" i="4" s="1"/>
  <c r="AX13" i="4" s="1"/>
  <c r="AX14" i="4" s="1"/>
  <c r="AX15" i="4" s="1"/>
  <c r="AX16" i="4" s="1"/>
  <c r="AX17" i="4" s="1"/>
  <c r="AX18" i="4" s="1"/>
  <c r="AX19" i="4" s="1"/>
  <c r="AX20" i="4" s="1"/>
  <c r="AX21" i="4" s="1"/>
  <c r="AX22" i="4" s="1"/>
  <c r="AX23" i="4" s="1"/>
  <c r="AX24" i="4" s="1"/>
  <c r="AX25" i="4" s="1"/>
  <c r="AX26" i="4" s="1"/>
  <c r="AX27" i="4" s="1"/>
  <c r="AX28" i="4" s="1"/>
  <c r="AX29" i="4" s="1"/>
  <c r="AX30" i="4" s="1"/>
  <c r="AX31" i="4" s="1"/>
  <c r="AX32" i="4" s="1"/>
  <c r="AX33" i="4" s="1"/>
  <c r="AX34" i="4" s="1"/>
  <c r="AX35" i="4" s="1"/>
  <c r="AX36" i="4" s="1"/>
  <c r="AX37" i="4" s="1"/>
  <c r="AX38" i="4" s="1"/>
  <c r="AX39" i="4" s="1"/>
  <c r="AX40" i="4" s="1"/>
  <c r="AX41" i="4" s="1"/>
  <c r="AX42" i="4" s="1"/>
  <c r="AX43" i="4" s="1"/>
  <c r="AX44" i="4" s="1"/>
  <c r="AX45" i="4" s="1"/>
  <c r="AX46" i="4" s="1"/>
  <c r="AX47" i="4" s="1"/>
  <c r="AX48" i="4" s="1"/>
  <c r="AX49" i="4" s="1"/>
  <c r="AX50" i="4" s="1"/>
  <c r="S1" i="16"/>
  <c r="BI3" i="16" s="1"/>
  <c r="AW8" i="4" l="1"/>
  <c r="AW9" i="4"/>
  <c r="AZ6" i="4"/>
  <c r="AZ5" i="4"/>
  <c r="BA3" i="16"/>
  <c r="AY3" i="16"/>
  <c r="AZ7" i="4" l="1"/>
  <c r="AW11" i="4"/>
  <c r="AW10" i="4"/>
  <c r="D23" i="2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6" i="2" s="1"/>
  <c r="D37" i="2" s="1"/>
  <c r="D38" i="2" s="1"/>
  <c r="D39" i="2" s="1"/>
  <c r="D40" i="2" s="1"/>
  <c r="D41" i="2" s="1"/>
  <c r="D42" i="2" s="1"/>
  <c r="D43" i="2" s="1"/>
  <c r="D44" i="2" s="1"/>
  <c r="AZ8" i="4" l="1"/>
  <c r="AW12" i="4"/>
  <c r="AW13" i="4"/>
  <c r="D46" i="2"/>
  <c r="E44" i="2"/>
  <c r="AW15" i="4" l="1"/>
  <c r="AW14" i="4"/>
  <c r="AZ9" i="4"/>
  <c r="E8" i="17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L25" i="8"/>
  <c r="L3" i="8" s="1"/>
  <c r="B10" i="8" s="1"/>
  <c r="I16" i="16"/>
  <c r="G8" i="16"/>
  <c r="G9" i="16" s="1"/>
  <c r="G10" i="16" s="1"/>
  <c r="G11" i="16" s="1"/>
  <c r="G12" i="16" s="1"/>
  <c r="G13" i="16" s="1"/>
  <c r="G14" i="16" s="1"/>
  <c r="G15" i="16" s="1"/>
  <c r="G16" i="16" s="1"/>
  <c r="G17" i="16" s="1"/>
  <c r="G18" i="16" s="1"/>
  <c r="G19" i="16" s="1"/>
  <c r="G20" i="16" s="1"/>
  <c r="G21" i="16" s="1"/>
  <c r="G22" i="16" s="1"/>
  <c r="R3" i="20" s="1"/>
  <c r="R11" i="16"/>
  <c r="R12" i="16" s="1"/>
  <c r="R13" i="16" s="1"/>
  <c r="R14" i="16" s="1"/>
  <c r="R15" i="16" s="1"/>
  <c r="R16" i="16" s="1"/>
  <c r="R17" i="16" s="1"/>
  <c r="R18" i="16" s="1"/>
  <c r="R19" i="16" s="1"/>
  <c r="R20" i="16" s="1"/>
  <c r="R21" i="16" s="1"/>
  <c r="AS3" i="16"/>
  <c r="AK3" i="16"/>
  <c r="AC3" i="16"/>
  <c r="N3" i="16"/>
  <c r="G3" i="16"/>
  <c r="AQ3" i="16"/>
  <c r="AI3" i="16"/>
  <c r="AA3" i="16"/>
  <c r="S3" i="16"/>
  <c r="P3" i="16"/>
  <c r="U3" i="16" s="1"/>
  <c r="L3" i="16"/>
  <c r="E3" i="16"/>
  <c r="C11" i="14"/>
  <c r="C12" i="14" s="1"/>
  <c r="M7" i="8"/>
  <c r="M8" i="8" s="1"/>
  <c r="M9" i="8" s="1"/>
  <c r="M10" i="8" s="1"/>
  <c r="M11" i="8" s="1"/>
  <c r="M12" i="8" s="1"/>
  <c r="M13" i="8" s="1"/>
  <c r="M14" i="8" s="1"/>
  <c r="M15" i="8" s="1"/>
  <c r="J7" i="8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AP4" i="4"/>
  <c r="AO4" i="4"/>
  <c r="AO5" i="4" s="1"/>
  <c r="AN4" i="4"/>
  <c r="AH4" i="4"/>
  <c r="AG4" i="4"/>
  <c r="AG5" i="4" s="1"/>
  <c r="AG6" i="4" s="1"/>
  <c r="AF4" i="4"/>
  <c r="AF5" i="4" s="1"/>
  <c r="Z4" i="4"/>
  <c r="Y4" i="4"/>
  <c r="Y5" i="4" s="1"/>
  <c r="X4" i="4"/>
  <c r="R4" i="4"/>
  <c r="Q4" i="4"/>
  <c r="Q5" i="4" s="1"/>
  <c r="Q6" i="4" s="1"/>
  <c r="K4" i="4"/>
  <c r="J4" i="4"/>
  <c r="J5" i="4" s="1"/>
  <c r="D4" i="4"/>
  <c r="D5" i="4" s="1"/>
  <c r="C4" i="4"/>
  <c r="C5" i="4" s="1"/>
  <c r="AQ3" i="4"/>
  <c r="AI3" i="4"/>
  <c r="AA3" i="4"/>
  <c r="S3" i="4"/>
  <c r="P3" i="4"/>
  <c r="L3" i="4"/>
  <c r="E3" i="4"/>
  <c r="D47" i="2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V1" i="4" s="1"/>
  <c r="G55" i="4" s="1"/>
  <c r="E22" i="2"/>
  <c r="I24" i="2"/>
  <c r="I25" i="2" s="1"/>
  <c r="I26" i="2" s="1"/>
  <c r="I27" i="2" s="1"/>
  <c r="I28" i="2" s="1"/>
  <c r="I29" i="2" s="1"/>
  <c r="I30" i="2" s="1"/>
  <c r="I31" i="2" s="1"/>
  <c r="I32" i="2" s="1"/>
  <c r="I47" i="2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E46" i="2"/>
  <c r="D8" i="10"/>
  <c r="D9" i="10" s="1"/>
  <c r="AZ10" i="4" l="1"/>
  <c r="AW16" i="4"/>
  <c r="AW17" i="4"/>
  <c r="G56" i="4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S1" i="4" s="1"/>
  <c r="BA9" i="4" s="1"/>
  <c r="D18" i="8"/>
  <c r="D19" i="8"/>
  <c r="D15" i="8"/>
  <c r="D20" i="8"/>
  <c r="D16" i="8"/>
  <c r="D27" i="8"/>
  <c r="D17" i="8"/>
  <c r="R22" i="16"/>
  <c r="R23" i="16" s="1"/>
  <c r="R24" i="16" s="1"/>
  <c r="U19" i="16" s="1"/>
  <c r="I33" i="2"/>
  <c r="M16" i="8"/>
  <c r="M17" i="8" s="1"/>
  <c r="M18" i="8" s="1"/>
  <c r="M19" i="8" s="1"/>
  <c r="M20" i="8" s="1"/>
  <c r="AQ4" i="4"/>
  <c r="AA4" i="4"/>
  <c r="L4" i="4"/>
  <c r="AI4" i="4"/>
  <c r="S4" i="4"/>
  <c r="Y7" i="4"/>
  <c r="Y6" i="4"/>
  <c r="C6" i="4"/>
  <c r="C7" i="4"/>
  <c r="J7" i="4"/>
  <c r="J6" i="4"/>
  <c r="E5" i="4"/>
  <c r="D6" i="4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AF6" i="4"/>
  <c r="AO7" i="4"/>
  <c r="AO6" i="4"/>
  <c r="E4" i="4"/>
  <c r="P4" i="4"/>
  <c r="R5" i="4"/>
  <c r="X5" i="4"/>
  <c r="AH5" i="4"/>
  <c r="AN5" i="4"/>
  <c r="Q7" i="4"/>
  <c r="AG7" i="4"/>
  <c r="K5" i="4"/>
  <c r="Z5" i="4"/>
  <c r="AP5" i="4"/>
  <c r="E116" i="2"/>
  <c r="E47" i="2"/>
  <c r="D10" i="10"/>
  <c r="R58" i="4" l="1"/>
  <c r="BA3" i="4"/>
  <c r="BA4" i="4"/>
  <c r="BA5" i="4"/>
  <c r="BA6" i="4"/>
  <c r="BA7" i="4"/>
  <c r="BA8" i="4"/>
  <c r="BA10" i="4"/>
  <c r="D39" i="8"/>
  <c r="D40" i="8" s="1"/>
  <c r="AW18" i="4"/>
  <c r="AW19" i="4"/>
  <c r="AZ11" i="4"/>
  <c r="BA11" i="4" s="1"/>
  <c r="M21" i="8"/>
  <c r="I34" i="2"/>
  <c r="I36" i="2" s="1"/>
  <c r="I37" i="2" s="1"/>
  <c r="I38" i="2" s="1"/>
  <c r="I39" i="2" s="1"/>
  <c r="I40" i="2" s="1"/>
  <c r="I41" i="2" s="1"/>
  <c r="I42" i="2" s="1"/>
  <c r="I43" i="2" s="1"/>
  <c r="I68" i="4"/>
  <c r="AI5" i="4"/>
  <c r="AH6" i="4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O9" i="4"/>
  <c r="AO8" i="4"/>
  <c r="AQ5" i="4"/>
  <c r="AQ6" i="4" s="1"/>
  <c r="AQ7" i="4" s="1"/>
  <c r="AQ8" i="4" s="1"/>
  <c r="AQ9" i="4" s="1"/>
  <c r="AQ10" i="4" s="1"/>
  <c r="AQ11" i="4" s="1"/>
  <c r="AQ12" i="4" s="1"/>
  <c r="AQ13" i="4" s="1"/>
  <c r="AQ14" i="4" s="1"/>
  <c r="AQ15" i="4" s="1"/>
  <c r="AQ16" i="4" s="1"/>
  <c r="AQ17" i="4" s="1"/>
  <c r="AQ18" i="4" s="1"/>
  <c r="AQ19" i="4" s="1"/>
  <c r="AQ20" i="4" s="1"/>
  <c r="AQ21" i="4" s="1"/>
  <c r="AQ22" i="4" s="1"/>
  <c r="AQ23" i="4" s="1"/>
  <c r="AQ24" i="4" s="1"/>
  <c r="AQ25" i="4" s="1"/>
  <c r="AQ26" i="4" s="1"/>
  <c r="AQ27" i="4" s="1"/>
  <c r="AQ28" i="4" s="1"/>
  <c r="AQ29" i="4" s="1"/>
  <c r="AQ30" i="4" s="1"/>
  <c r="AQ31" i="4" s="1"/>
  <c r="AQ32" i="4" s="1"/>
  <c r="AQ33" i="4" s="1"/>
  <c r="AQ34" i="4" s="1"/>
  <c r="AQ35" i="4" s="1"/>
  <c r="AQ36" i="4" s="1"/>
  <c r="AQ37" i="4" s="1"/>
  <c r="AQ38" i="4" s="1"/>
  <c r="AQ39" i="4" s="1"/>
  <c r="AQ40" i="4" s="1"/>
  <c r="AQ41" i="4" s="1"/>
  <c r="AQ42" i="4" s="1"/>
  <c r="AQ43" i="4" s="1"/>
  <c r="AQ44" i="4" s="1"/>
  <c r="AQ45" i="4" s="1"/>
  <c r="AQ46" i="4" s="1"/>
  <c r="AQ47" i="4" s="1"/>
  <c r="AQ48" i="4" s="1"/>
  <c r="AQ49" i="4" s="1"/>
  <c r="AQ50" i="4" s="1"/>
  <c r="AP6" i="4"/>
  <c r="AP7" i="4" s="1"/>
  <c r="AP8" i="4" s="1"/>
  <c r="AP9" i="4" s="1"/>
  <c r="AP10" i="4" s="1"/>
  <c r="AP11" i="4" s="1"/>
  <c r="AP12" i="4" s="1"/>
  <c r="AP13" i="4" s="1"/>
  <c r="AP14" i="4" s="1"/>
  <c r="AP15" i="4" s="1"/>
  <c r="AP16" i="4" s="1"/>
  <c r="AP17" i="4" s="1"/>
  <c r="AP18" i="4" s="1"/>
  <c r="AP19" i="4" s="1"/>
  <c r="AP20" i="4" s="1"/>
  <c r="AP21" i="4" s="1"/>
  <c r="AP22" i="4" s="1"/>
  <c r="AP23" i="4" s="1"/>
  <c r="AP24" i="4" s="1"/>
  <c r="AP25" i="4" s="1"/>
  <c r="AP26" i="4" s="1"/>
  <c r="AP27" i="4" s="1"/>
  <c r="AP28" i="4" s="1"/>
  <c r="AP29" i="4" s="1"/>
  <c r="AP30" i="4" s="1"/>
  <c r="AP31" i="4" s="1"/>
  <c r="AP32" i="4" s="1"/>
  <c r="AP33" i="4" s="1"/>
  <c r="AP34" i="4" s="1"/>
  <c r="AP35" i="4" s="1"/>
  <c r="AP36" i="4" s="1"/>
  <c r="AP37" i="4" s="1"/>
  <c r="AP38" i="4" s="1"/>
  <c r="AP39" i="4" s="1"/>
  <c r="AP40" i="4" s="1"/>
  <c r="AP41" i="4" s="1"/>
  <c r="AP42" i="4" s="1"/>
  <c r="AP43" i="4" s="1"/>
  <c r="AP44" i="4" s="1"/>
  <c r="AP45" i="4" s="1"/>
  <c r="AP46" i="4" s="1"/>
  <c r="AP47" i="4" s="1"/>
  <c r="AP48" i="4" s="1"/>
  <c r="AP49" i="4" s="1"/>
  <c r="AP50" i="4" s="1"/>
  <c r="Q8" i="4"/>
  <c r="Q9" i="4"/>
  <c r="S5" i="4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R6" i="4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J9" i="4"/>
  <c r="J8" i="4"/>
  <c r="Y9" i="4"/>
  <c r="Y8" i="4"/>
  <c r="AG8" i="4"/>
  <c r="AG9" i="4"/>
  <c r="X6" i="4"/>
  <c r="AF7" i="4"/>
  <c r="L5" i="4"/>
  <c r="K6" i="4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P5" i="4"/>
  <c r="E6" i="4"/>
  <c r="AA5" i="4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AA36" i="4" s="1"/>
  <c r="AA37" i="4" s="1"/>
  <c r="AA38" i="4" s="1"/>
  <c r="AA39" i="4" s="1"/>
  <c r="AA40" i="4" s="1"/>
  <c r="AA41" i="4" s="1"/>
  <c r="AA42" i="4" s="1"/>
  <c r="AA43" i="4" s="1"/>
  <c r="AA44" i="4" s="1"/>
  <c r="AA45" i="4" s="1"/>
  <c r="AA46" i="4" s="1"/>
  <c r="AA47" i="4" s="1"/>
  <c r="AA48" i="4" s="1"/>
  <c r="AA49" i="4" s="1"/>
  <c r="AA50" i="4" s="1"/>
  <c r="Z6" i="4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AN6" i="4"/>
  <c r="C8" i="4"/>
  <c r="C9" i="4"/>
  <c r="E48" i="2"/>
  <c r="D11" i="10"/>
  <c r="AZ12" i="4" l="1"/>
  <c r="BA12" i="4" s="1"/>
  <c r="AW20" i="4"/>
  <c r="AW21" i="4"/>
  <c r="D12" i="10"/>
  <c r="D13" i="10" s="1"/>
  <c r="M22" i="8"/>
  <c r="M23" i="8" s="1"/>
  <c r="M24" i="8" s="1"/>
  <c r="D41" i="8"/>
  <c r="AN7" i="4"/>
  <c r="L6" i="4"/>
  <c r="X7" i="4"/>
  <c r="Y11" i="4"/>
  <c r="Y10" i="4"/>
  <c r="AI6" i="4"/>
  <c r="E7" i="4"/>
  <c r="P6" i="4"/>
  <c r="AF8" i="4"/>
  <c r="J11" i="4"/>
  <c r="J10" i="4"/>
  <c r="AO11" i="4"/>
  <c r="AO10" i="4"/>
  <c r="C10" i="4"/>
  <c r="C11" i="4"/>
  <c r="AG10" i="4"/>
  <c r="AG11" i="4"/>
  <c r="Q10" i="4"/>
  <c r="Q11" i="4"/>
  <c r="E49" i="2"/>
  <c r="AW22" i="4" l="1"/>
  <c r="AW23" i="4"/>
  <c r="AZ13" i="4"/>
  <c r="BA13" i="4" s="1"/>
  <c r="D14" i="10"/>
  <c r="D15" i="10" s="1"/>
  <c r="D16" i="10" s="1"/>
  <c r="D17" i="10" s="1"/>
  <c r="D18" i="10" s="1"/>
  <c r="D42" i="8"/>
  <c r="Q12" i="4"/>
  <c r="Q13" i="4"/>
  <c r="AG12" i="4"/>
  <c r="AG13" i="4"/>
  <c r="AF9" i="4"/>
  <c r="C12" i="4"/>
  <c r="C13" i="4"/>
  <c r="P7" i="4"/>
  <c r="AI7" i="4"/>
  <c r="J13" i="4"/>
  <c r="J12" i="4"/>
  <c r="X8" i="4"/>
  <c r="AN8" i="4"/>
  <c r="Y13" i="4"/>
  <c r="Y12" i="4"/>
  <c r="L7" i="4"/>
  <c r="AO13" i="4"/>
  <c r="AO12" i="4"/>
  <c r="E8" i="4"/>
  <c r="E50" i="2"/>
  <c r="AZ14" i="4" l="1"/>
  <c r="BA14" i="4" s="1"/>
  <c r="AW24" i="4"/>
  <c r="AW25" i="4"/>
  <c r="D43" i="8"/>
  <c r="E9" i="4"/>
  <c r="L8" i="4"/>
  <c r="AN9" i="4"/>
  <c r="J15" i="4"/>
  <c r="J14" i="4"/>
  <c r="P8" i="4"/>
  <c r="AF10" i="4"/>
  <c r="Q14" i="4"/>
  <c r="Q15" i="4"/>
  <c r="AO14" i="4"/>
  <c r="AO15" i="4"/>
  <c r="Y15" i="4"/>
  <c r="Y14" i="4"/>
  <c r="X9" i="4"/>
  <c r="AI8" i="4"/>
  <c r="C15" i="4"/>
  <c r="C14" i="4"/>
  <c r="AG14" i="4"/>
  <c r="AG15" i="4"/>
  <c r="E51" i="2"/>
  <c r="AW26" i="4" l="1"/>
  <c r="AW27" i="4"/>
  <c r="AZ15" i="4"/>
  <c r="BA15" i="4" s="1"/>
  <c r="D44" i="8"/>
  <c r="AG16" i="4"/>
  <c r="AG17" i="4"/>
  <c r="Q17" i="4"/>
  <c r="Q16" i="4"/>
  <c r="P9" i="4"/>
  <c r="AN10" i="4"/>
  <c r="E10" i="4"/>
  <c r="AI9" i="4"/>
  <c r="Y17" i="4"/>
  <c r="Y16" i="4"/>
  <c r="C16" i="4"/>
  <c r="C17" i="4"/>
  <c r="J17" i="4"/>
  <c r="J16" i="4"/>
  <c r="L9" i="4"/>
  <c r="X10" i="4"/>
  <c r="AO16" i="4"/>
  <c r="AO17" i="4"/>
  <c r="AF11" i="4"/>
  <c r="E52" i="2"/>
  <c r="AW28" i="4" l="1"/>
  <c r="AW29" i="4"/>
  <c r="AZ16" i="4"/>
  <c r="BA16" i="4" s="1"/>
  <c r="D45" i="8"/>
  <c r="AF12" i="4"/>
  <c r="X11" i="4"/>
  <c r="J18" i="4"/>
  <c r="J19" i="4"/>
  <c r="Y19" i="4"/>
  <c r="Y18" i="4"/>
  <c r="E11" i="4"/>
  <c r="AG19" i="4"/>
  <c r="AG18" i="4"/>
  <c r="P10" i="4"/>
  <c r="AI10" i="4"/>
  <c r="AN11" i="4"/>
  <c r="Q18" i="4"/>
  <c r="Q19" i="4"/>
  <c r="AO19" i="4"/>
  <c r="AO18" i="4"/>
  <c r="L10" i="4"/>
  <c r="C18" i="4"/>
  <c r="C19" i="4"/>
  <c r="E53" i="2"/>
  <c r="AZ17" i="4" l="1"/>
  <c r="BA17" i="4" s="1"/>
  <c r="AW30" i="4"/>
  <c r="AW31" i="4"/>
  <c r="D46" i="8"/>
  <c r="D47" i="8" s="1"/>
  <c r="AO21" i="4"/>
  <c r="AO20" i="4"/>
  <c r="C20" i="4"/>
  <c r="C21" i="4"/>
  <c r="AN12" i="4"/>
  <c r="P11" i="4"/>
  <c r="E12" i="4"/>
  <c r="J20" i="4"/>
  <c r="J21" i="4"/>
  <c r="AF13" i="4"/>
  <c r="L11" i="4"/>
  <c r="AI11" i="4"/>
  <c r="AG20" i="4"/>
  <c r="AG21" i="4"/>
  <c r="Y20" i="4"/>
  <c r="Y21" i="4"/>
  <c r="Q20" i="4"/>
  <c r="Q21" i="4"/>
  <c r="X12" i="4"/>
  <c r="E54" i="2"/>
  <c r="AZ18" i="4" l="1"/>
  <c r="BA18" i="4" s="1"/>
  <c r="AW32" i="4"/>
  <c r="AW33" i="4"/>
  <c r="Y22" i="4"/>
  <c r="Y23" i="4"/>
  <c r="E13" i="4"/>
  <c r="X13" i="4"/>
  <c r="AI12" i="4"/>
  <c r="AF14" i="4"/>
  <c r="AO22" i="4"/>
  <c r="AO23" i="4"/>
  <c r="P12" i="4"/>
  <c r="AN13" i="4"/>
  <c r="Q23" i="4"/>
  <c r="Q22" i="4"/>
  <c r="AG23" i="4"/>
  <c r="AG22" i="4"/>
  <c r="L12" i="4"/>
  <c r="J23" i="4"/>
  <c r="J22" i="4"/>
  <c r="C23" i="4"/>
  <c r="C22" i="4"/>
  <c r="E55" i="2"/>
  <c r="AW34" i="4" l="1"/>
  <c r="AW35" i="4"/>
  <c r="AZ19" i="4"/>
  <c r="BA19" i="4" s="1"/>
  <c r="C24" i="4"/>
  <c r="C25" i="4"/>
  <c r="L13" i="4"/>
  <c r="Q25" i="4"/>
  <c r="Q24" i="4"/>
  <c r="P13" i="4"/>
  <c r="AF15" i="4"/>
  <c r="X14" i="4"/>
  <c r="Y24" i="4"/>
  <c r="Y25" i="4"/>
  <c r="AI13" i="4"/>
  <c r="J24" i="4"/>
  <c r="J25" i="4"/>
  <c r="AG25" i="4"/>
  <c r="AG24" i="4"/>
  <c r="AN14" i="4"/>
  <c r="AO24" i="4"/>
  <c r="AO25" i="4"/>
  <c r="E14" i="4"/>
  <c r="E56" i="2"/>
  <c r="AW36" i="4" l="1"/>
  <c r="AW37" i="4"/>
  <c r="AZ20" i="4"/>
  <c r="BA20" i="4" s="1"/>
  <c r="AO26" i="4"/>
  <c r="AO27" i="4"/>
  <c r="AN15" i="4"/>
  <c r="AF16" i="4"/>
  <c r="Q27" i="4"/>
  <c r="Q26" i="4"/>
  <c r="E15" i="4"/>
  <c r="J26" i="4"/>
  <c r="J27" i="4"/>
  <c r="Y26" i="4"/>
  <c r="Y27" i="4"/>
  <c r="C27" i="4"/>
  <c r="C26" i="4"/>
  <c r="AG27" i="4"/>
  <c r="AG26" i="4"/>
  <c r="AI14" i="4"/>
  <c r="X15" i="4"/>
  <c r="P14" i="4"/>
  <c r="L14" i="4"/>
  <c r="E57" i="2"/>
  <c r="AW38" i="4" l="1"/>
  <c r="AW39" i="4"/>
  <c r="AZ21" i="4"/>
  <c r="BA21" i="4" s="1"/>
  <c r="P15" i="4"/>
  <c r="L15" i="4"/>
  <c r="X16" i="4"/>
  <c r="AG29" i="4"/>
  <c r="AG28" i="4"/>
  <c r="E16" i="4"/>
  <c r="Y28" i="4"/>
  <c r="Y29" i="4"/>
  <c r="AF17" i="4"/>
  <c r="AO28" i="4"/>
  <c r="AO29" i="4"/>
  <c r="AI15" i="4"/>
  <c r="C28" i="4"/>
  <c r="C29" i="4"/>
  <c r="Q29" i="4"/>
  <c r="Q28" i="4"/>
  <c r="J28" i="4"/>
  <c r="J29" i="4"/>
  <c r="AN16" i="4"/>
  <c r="E58" i="2"/>
  <c r="AW40" i="4" l="1"/>
  <c r="AW41" i="4"/>
  <c r="AZ22" i="4"/>
  <c r="BA22" i="4" s="1"/>
  <c r="AN17" i="4"/>
  <c r="Q31" i="4"/>
  <c r="Q30" i="4"/>
  <c r="AI16" i="4"/>
  <c r="AF18" i="4"/>
  <c r="E17" i="4"/>
  <c r="X17" i="4"/>
  <c r="P16" i="4"/>
  <c r="AG31" i="4"/>
  <c r="AG30" i="4"/>
  <c r="J30" i="4"/>
  <c r="J31" i="4"/>
  <c r="C31" i="4"/>
  <c r="C30" i="4"/>
  <c r="AO30" i="4"/>
  <c r="AO31" i="4"/>
  <c r="Y30" i="4"/>
  <c r="Y31" i="4"/>
  <c r="L16" i="4"/>
  <c r="E59" i="2"/>
  <c r="AV24" i="4" l="1"/>
  <c r="AZ23" i="4"/>
  <c r="BA23" i="4" s="1"/>
  <c r="AW42" i="4"/>
  <c r="AW43" i="4"/>
  <c r="E18" i="4"/>
  <c r="AI17" i="4"/>
  <c r="AO32" i="4"/>
  <c r="AO33" i="4"/>
  <c r="J32" i="4"/>
  <c r="J33" i="4"/>
  <c r="P17" i="4"/>
  <c r="Q33" i="4"/>
  <c r="Q32" i="4"/>
  <c r="L17" i="4"/>
  <c r="AN18" i="4"/>
  <c r="C32" i="4"/>
  <c r="C33" i="4"/>
  <c r="AG33" i="4"/>
  <c r="AG32" i="4"/>
  <c r="Y32" i="4"/>
  <c r="Y33" i="4"/>
  <c r="X18" i="4"/>
  <c r="AF19" i="4"/>
  <c r="E60" i="2"/>
  <c r="AW44" i="4" l="1"/>
  <c r="AW45" i="4"/>
  <c r="AV25" i="4"/>
  <c r="AZ24" i="4"/>
  <c r="BA24" i="4" s="1"/>
  <c r="AF20" i="4"/>
  <c r="P18" i="4"/>
  <c r="AO34" i="4"/>
  <c r="AO35" i="4"/>
  <c r="E19" i="4"/>
  <c r="Y34" i="4"/>
  <c r="Y35" i="4"/>
  <c r="C35" i="4"/>
  <c r="C34" i="4"/>
  <c r="L18" i="4"/>
  <c r="X19" i="4"/>
  <c r="AG35" i="4"/>
  <c r="AG34" i="4"/>
  <c r="AN19" i="4"/>
  <c r="Q35" i="4"/>
  <c r="Q34" i="4"/>
  <c r="AI18" i="4"/>
  <c r="J34" i="4"/>
  <c r="J35" i="4"/>
  <c r="E23" i="2"/>
  <c r="E61" i="2"/>
  <c r="AZ25" i="4" l="1"/>
  <c r="BA25" i="4" s="1"/>
  <c r="AV26" i="4"/>
  <c r="AW46" i="4"/>
  <c r="AW47" i="4"/>
  <c r="AI19" i="4"/>
  <c r="Q37" i="4"/>
  <c r="Q36" i="4"/>
  <c r="AG37" i="4"/>
  <c r="AG36" i="4"/>
  <c r="J36" i="4"/>
  <c r="J37" i="4"/>
  <c r="L19" i="4"/>
  <c r="Y36" i="4"/>
  <c r="Y37" i="4"/>
  <c r="AO36" i="4"/>
  <c r="AO37" i="4"/>
  <c r="AF21" i="4"/>
  <c r="C36" i="4"/>
  <c r="C37" i="4"/>
  <c r="E20" i="4"/>
  <c r="AN20" i="4"/>
  <c r="X20" i="4"/>
  <c r="P19" i="4"/>
  <c r="E62" i="2"/>
  <c r="E24" i="2"/>
  <c r="AV27" i="4" l="1"/>
  <c r="AZ26" i="4"/>
  <c r="BA26" i="4" s="1"/>
  <c r="AW48" i="4"/>
  <c r="AW49" i="4"/>
  <c r="AW50" i="4" s="1"/>
  <c r="P20" i="4"/>
  <c r="AN21" i="4"/>
  <c r="AG39" i="4"/>
  <c r="AG38" i="4"/>
  <c r="C39" i="4"/>
  <c r="C38" i="4"/>
  <c r="AO38" i="4"/>
  <c r="AO39" i="4"/>
  <c r="L20" i="4"/>
  <c r="X21" i="4"/>
  <c r="AF22" i="4"/>
  <c r="Q39" i="4"/>
  <c r="Q38" i="4"/>
  <c r="AI20" i="4"/>
  <c r="E21" i="4"/>
  <c r="Y38" i="4"/>
  <c r="Y39" i="4"/>
  <c r="J38" i="4"/>
  <c r="J39" i="4"/>
  <c r="E25" i="2"/>
  <c r="E63" i="2"/>
  <c r="AV28" i="4" l="1"/>
  <c r="AZ27" i="4"/>
  <c r="BA27" i="4" s="1"/>
  <c r="E22" i="4"/>
  <c r="Q41" i="4"/>
  <c r="Q40" i="4"/>
  <c r="J40" i="4"/>
  <c r="J41" i="4"/>
  <c r="X22" i="4"/>
  <c r="AO40" i="4"/>
  <c r="AO41" i="4"/>
  <c r="P21" i="4"/>
  <c r="C40" i="4"/>
  <c r="C41" i="4"/>
  <c r="AG41" i="4"/>
  <c r="AG40" i="4"/>
  <c r="AI21" i="4"/>
  <c r="Y40" i="4"/>
  <c r="Y41" i="4"/>
  <c r="AF23" i="4"/>
  <c r="L21" i="4"/>
  <c r="AN22" i="4"/>
  <c r="E64" i="2"/>
  <c r="E26" i="2"/>
  <c r="AV29" i="4" l="1"/>
  <c r="AZ28" i="4"/>
  <c r="BA28" i="4" s="1"/>
  <c r="D19" i="10"/>
  <c r="AN23" i="4"/>
  <c r="AI22" i="4"/>
  <c r="AF24" i="4"/>
  <c r="C43" i="4"/>
  <c r="C42" i="4"/>
  <c r="AO42" i="4"/>
  <c r="AO43" i="4"/>
  <c r="J42" i="4"/>
  <c r="J43" i="4"/>
  <c r="E23" i="4"/>
  <c r="AG43" i="4"/>
  <c r="AG42" i="4"/>
  <c r="P22" i="4"/>
  <c r="Q43" i="4"/>
  <c r="Q42" i="4"/>
  <c r="L22" i="4"/>
  <c r="Y42" i="4"/>
  <c r="Y43" i="4"/>
  <c r="X23" i="4"/>
  <c r="E65" i="2"/>
  <c r="E27" i="2"/>
  <c r="AZ29" i="4" l="1"/>
  <c r="BA29" i="4" s="1"/>
  <c r="AV30" i="4"/>
  <c r="D20" i="10"/>
  <c r="X24" i="4"/>
  <c r="L23" i="4"/>
  <c r="P23" i="4"/>
  <c r="AO44" i="4"/>
  <c r="AO45" i="4"/>
  <c r="AF25" i="4"/>
  <c r="Q45" i="4"/>
  <c r="Q44" i="4"/>
  <c r="AG45" i="4"/>
  <c r="AG44" i="4"/>
  <c r="C44" i="4"/>
  <c r="C45" i="4"/>
  <c r="AI23" i="4"/>
  <c r="E24" i="4"/>
  <c r="AN24" i="4"/>
  <c r="Y44" i="4"/>
  <c r="Y45" i="4"/>
  <c r="J44" i="4"/>
  <c r="J45" i="4"/>
  <c r="E66" i="2"/>
  <c r="E28" i="2"/>
  <c r="AV31" i="4" l="1"/>
  <c r="AZ30" i="4"/>
  <c r="BA30" i="4" s="1"/>
  <c r="AF26" i="4"/>
  <c r="X25" i="4"/>
  <c r="AN25" i="4"/>
  <c r="Q47" i="4"/>
  <c r="Q46" i="4"/>
  <c r="L24" i="4"/>
  <c r="AI24" i="4"/>
  <c r="AG47" i="4"/>
  <c r="AG46" i="4"/>
  <c r="P24" i="4"/>
  <c r="J46" i="4"/>
  <c r="J47" i="4"/>
  <c r="Y46" i="4"/>
  <c r="Y47" i="4"/>
  <c r="E25" i="4"/>
  <c r="C47" i="4"/>
  <c r="C46" i="4"/>
  <c r="AO46" i="4"/>
  <c r="AO47" i="4"/>
  <c r="E29" i="2"/>
  <c r="E67" i="2"/>
  <c r="AV32" i="4" l="1"/>
  <c r="AZ31" i="4"/>
  <c r="BA31" i="4" s="1"/>
  <c r="E31" i="2"/>
  <c r="Y48" i="4"/>
  <c r="Y49" i="4"/>
  <c r="Y50" i="4" s="1"/>
  <c r="AF27" i="4"/>
  <c r="AO48" i="4"/>
  <c r="AO49" i="4"/>
  <c r="AO50" i="4" s="1"/>
  <c r="E26" i="4"/>
  <c r="J48" i="4"/>
  <c r="J49" i="4"/>
  <c r="J50" i="4" s="1"/>
  <c r="L25" i="4"/>
  <c r="AN26" i="4"/>
  <c r="AG49" i="4"/>
  <c r="AG50" i="4" s="1"/>
  <c r="AG48" i="4"/>
  <c r="C48" i="4"/>
  <c r="C49" i="4"/>
  <c r="C50" i="4" s="1"/>
  <c r="P25" i="4"/>
  <c r="AI25" i="4"/>
  <c r="Q49" i="4"/>
  <c r="Q50" i="4" s="1"/>
  <c r="Q48" i="4"/>
  <c r="X26" i="4"/>
  <c r="E30" i="2"/>
  <c r="E68" i="2"/>
  <c r="AV33" i="4" l="1"/>
  <c r="AZ32" i="4"/>
  <c r="BA32" i="4" s="1"/>
  <c r="E32" i="2"/>
  <c r="P26" i="4"/>
  <c r="AI26" i="4"/>
  <c r="AN27" i="4"/>
  <c r="X27" i="4"/>
  <c r="L26" i="4"/>
  <c r="E27" i="4"/>
  <c r="AF28" i="4"/>
  <c r="E69" i="2"/>
  <c r="AZ33" i="4" l="1"/>
  <c r="BA33" i="4" s="1"/>
  <c r="AV34" i="4"/>
  <c r="E33" i="2"/>
  <c r="AN28" i="4"/>
  <c r="P27" i="4"/>
  <c r="L27" i="4"/>
  <c r="AF29" i="4"/>
  <c r="E28" i="4"/>
  <c r="X28" i="4"/>
  <c r="AI27" i="4"/>
  <c r="E70" i="2"/>
  <c r="AV35" i="4" l="1"/>
  <c r="AZ34" i="4"/>
  <c r="BA34" i="4" s="1"/>
  <c r="AI28" i="4"/>
  <c r="AN29" i="4"/>
  <c r="L28" i="4"/>
  <c r="E29" i="4"/>
  <c r="X29" i="4"/>
  <c r="AF30" i="4"/>
  <c r="P28" i="4"/>
  <c r="E34" i="2"/>
  <c r="E71" i="2"/>
  <c r="AV36" i="4" l="1"/>
  <c r="AZ35" i="4"/>
  <c r="BA35" i="4" s="1"/>
  <c r="L29" i="4"/>
  <c r="P29" i="4"/>
  <c r="AN30" i="4"/>
  <c r="X30" i="4"/>
  <c r="AI29" i="4"/>
  <c r="AF31" i="4"/>
  <c r="E30" i="4"/>
  <c r="E36" i="2"/>
  <c r="E72" i="2"/>
  <c r="AV37" i="4" l="1"/>
  <c r="AZ36" i="4"/>
  <c r="BA36" i="4" s="1"/>
  <c r="AI30" i="4"/>
  <c r="AN31" i="4"/>
  <c r="L30" i="4"/>
  <c r="E31" i="4"/>
  <c r="AF32" i="4"/>
  <c r="X31" i="4"/>
  <c r="P30" i="4"/>
  <c r="E37" i="2"/>
  <c r="E73" i="2"/>
  <c r="AZ37" i="4" l="1"/>
  <c r="BA37" i="4" s="1"/>
  <c r="AV38" i="4"/>
  <c r="X32" i="4"/>
  <c r="P31" i="4"/>
  <c r="AF33" i="4"/>
  <c r="L31" i="4"/>
  <c r="AI31" i="4"/>
  <c r="E32" i="4"/>
  <c r="AN32" i="4"/>
  <c r="E38" i="2"/>
  <c r="E74" i="2"/>
  <c r="AV39" i="4" l="1"/>
  <c r="AZ38" i="4"/>
  <c r="BA38" i="4" s="1"/>
  <c r="E33" i="4"/>
  <c r="AI32" i="4"/>
  <c r="AF34" i="4"/>
  <c r="X33" i="4"/>
  <c r="AN33" i="4"/>
  <c r="L32" i="4"/>
  <c r="P32" i="4"/>
  <c r="E39" i="2"/>
  <c r="E75" i="2"/>
  <c r="AV40" i="4" l="1"/>
  <c r="AZ39" i="4"/>
  <c r="BA39" i="4" s="1"/>
  <c r="P33" i="4"/>
  <c r="AN34" i="4"/>
  <c r="E34" i="4"/>
  <c r="AI33" i="4"/>
  <c r="AF35" i="4"/>
  <c r="L33" i="4"/>
  <c r="X34" i="4"/>
  <c r="E76" i="2"/>
  <c r="E40" i="2"/>
  <c r="AV41" i="4" l="1"/>
  <c r="AZ40" i="4"/>
  <c r="BA40" i="4" s="1"/>
  <c r="X35" i="4"/>
  <c r="AF36" i="4"/>
  <c r="E35" i="4"/>
  <c r="P34" i="4"/>
  <c r="L34" i="4"/>
  <c r="AI34" i="4"/>
  <c r="AN35" i="4"/>
  <c r="E41" i="2"/>
  <c r="E77" i="2"/>
  <c r="AZ41" i="4" l="1"/>
  <c r="BA41" i="4" s="1"/>
  <c r="AV42" i="4"/>
  <c r="AI35" i="4"/>
  <c r="L35" i="4"/>
  <c r="E36" i="4"/>
  <c r="X36" i="4"/>
  <c r="AN36" i="4"/>
  <c r="P35" i="4"/>
  <c r="AF37" i="4"/>
  <c r="E42" i="2"/>
  <c r="E43" i="2"/>
  <c r="E78" i="2"/>
  <c r="AV43" i="4" l="1"/>
  <c r="AZ42" i="4"/>
  <c r="BA42" i="4" s="1"/>
  <c r="AF38" i="4"/>
  <c r="AI36" i="4"/>
  <c r="AN37" i="4"/>
  <c r="E37" i="4"/>
  <c r="P36" i="4"/>
  <c r="X37" i="4"/>
  <c r="L36" i="4"/>
  <c r="E79" i="2"/>
  <c r="AV44" i="4" l="1"/>
  <c r="AZ43" i="4"/>
  <c r="BA43" i="4" s="1"/>
  <c r="AN38" i="4"/>
  <c r="L37" i="4"/>
  <c r="P37" i="4"/>
  <c r="AF39" i="4"/>
  <c r="X38" i="4"/>
  <c r="AI37" i="4"/>
  <c r="E38" i="4"/>
  <c r="E80" i="2"/>
  <c r="AV45" i="4" l="1"/>
  <c r="AZ44" i="4"/>
  <c r="BA44" i="4" s="1"/>
  <c r="AN39" i="4"/>
  <c r="E39" i="4"/>
  <c r="X39" i="4"/>
  <c r="P38" i="4"/>
  <c r="AI38" i="4"/>
  <c r="L38" i="4"/>
  <c r="AF40" i="4"/>
  <c r="E81" i="2"/>
  <c r="AZ45" i="4" l="1"/>
  <c r="BA45" i="4" s="1"/>
  <c r="AV46" i="4"/>
  <c r="AN40" i="4"/>
  <c r="AF41" i="4"/>
  <c r="AI39" i="4"/>
  <c r="X40" i="4"/>
  <c r="L39" i="4"/>
  <c r="P39" i="4"/>
  <c r="E40" i="4"/>
  <c r="E82" i="2"/>
  <c r="AV47" i="4" l="1"/>
  <c r="AZ46" i="4"/>
  <c r="BA46" i="4" s="1"/>
  <c r="E41" i="4"/>
  <c r="AN41" i="4"/>
  <c r="L40" i="4"/>
  <c r="AI40" i="4"/>
  <c r="P40" i="4"/>
  <c r="X41" i="4"/>
  <c r="AF42" i="4"/>
  <c r="E83" i="2"/>
  <c r="AV48" i="4" l="1"/>
  <c r="AZ47" i="4"/>
  <c r="BA47" i="4" s="1"/>
  <c r="AF43" i="4"/>
  <c r="P41" i="4"/>
  <c r="L41" i="4"/>
  <c r="E42" i="4"/>
  <c r="AI41" i="4"/>
  <c r="X42" i="4"/>
  <c r="AN42" i="4"/>
  <c r="E84" i="2"/>
  <c r="AV49" i="4" l="1"/>
  <c r="AZ48" i="4"/>
  <c r="BA48" i="4" s="1"/>
  <c r="AN43" i="4"/>
  <c r="AI42" i="4"/>
  <c r="L42" i="4"/>
  <c r="AF44" i="4"/>
  <c r="X43" i="4"/>
  <c r="E43" i="4"/>
  <c r="P42" i="4"/>
  <c r="E85" i="2"/>
  <c r="AZ49" i="4" l="1"/>
  <c r="BA49" i="4" s="1"/>
  <c r="AV50" i="4"/>
  <c r="AZ50" i="4" s="1"/>
  <c r="P43" i="4"/>
  <c r="AN44" i="4"/>
  <c r="X44" i="4"/>
  <c r="L43" i="4"/>
  <c r="E44" i="4"/>
  <c r="AI43" i="4"/>
  <c r="AF45" i="4"/>
  <c r="E86" i="2"/>
  <c r="AZ51" i="4" l="1"/>
  <c r="BA51" i="4" s="1"/>
  <c r="N2" i="6" s="1"/>
  <c r="BA50" i="4"/>
  <c r="AF46" i="4"/>
  <c r="X45" i="4"/>
  <c r="P44" i="4"/>
  <c r="E45" i="4"/>
  <c r="AI44" i="4"/>
  <c r="L44" i="4"/>
  <c r="AN45" i="4"/>
  <c r="E87" i="2"/>
  <c r="AN46" i="4" l="1"/>
  <c r="AI45" i="4"/>
  <c r="P45" i="4"/>
  <c r="AF47" i="4"/>
  <c r="X46" i="4"/>
  <c r="L45" i="4"/>
  <c r="E46" i="4"/>
  <c r="E88" i="2"/>
  <c r="AN47" i="4" l="1"/>
  <c r="E47" i="4"/>
  <c r="X47" i="4"/>
  <c r="P46" i="4"/>
  <c r="L46" i="4"/>
  <c r="AI46" i="4"/>
  <c r="AF48" i="4"/>
  <c r="E89" i="2"/>
  <c r="AN48" i="4" l="1"/>
  <c r="AF49" i="4"/>
  <c r="L47" i="4"/>
  <c r="X48" i="4"/>
  <c r="AI47" i="4"/>
  <c r="P47" i="4"/>
  <c r="E48" i="4"/>
  <c r="E90" i="2"/>
  <c r="E49" i="4" l="1"/>
  <c r="AN49" i="4"/>
  <c r="AI48" i="4"/>
  <c r="L48" i="4"/>
  <c r="P48" i="4"/>
  <c r="X49" i="4"/>
  <c r="AF50" i="4"/>
  <c r="E91" i="2"/>
  <c r="P49" i="4" l="1"/>
  <c r="AI49" i="4"/>
  <c r="E50" i="4"/>
  <c r="X50" i="4"/>
  <c r="L49" i="4"/>
  <c r="AN50" i="4"/>
  <c r="E92" i="2"/>
  <c r="L50" i="4" l="1"/>
  <c r="P50" i="4"/>
  <c r="AI50" i="4"/>
  <c r="E93" i="2"/>
  <c r="E94" i="2" l="1"/>
  <c r="E95" i="2" l="1"/>
  <c r="E96" i="2" l="1"/>
  <c r="E97" i="2" l="1"/>
  <c r="E98" i="2" l="1"/>
  <c r="E99" i="2" l="1"/>
  <c r="E100" i="2" l="1"/>
  <c r="E101" i="2" l="1"/>
  <c r="E102" i="2" l="1"/>
  <c r="E103" i="2" l="1"/>
  <c r="E104" i="2" l="1"/>
  <c r="E105" i="2" l="1"/>
  <c r="E106" i="2" l="1"/>
  <c r="E107" i="2" l="1"/>
  <c r="E108" i="2" l="1"/>
  <c r="E109" i="2" l="1"/>
  <c r="E110" i="2" l="1"/>
  <c r="E111" i="2" l="1"/>
  <c r="E112" i="2" l="1"/>
  <c r="E113" i="2" l="1"/>
  <c r="E114" i="2" l="1"/>
  <c r="E115" i="2" l="1"/>
  <c r="R59" i="4" l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l="1"/>
  <c r="R73" i="4" s="1"/>
  <c r="R74" i="4" s="1"/>
  <c r="R75" i="4" s="1"/>
  <c r="U66" i="4" s="1"/>
  <c r="F3" i="4"/>
  <c r="G3" i="4" s="1"/>
  <c r="F3" i="16"/>
  <c r="AR10" i="4"/>
  <c r="AS10" i="4" s="1"/>
  <c r="AB3" i="4"/>
  <c r="AC3" i="4" s="1"/>
  <c r="AJ4" i="4"/>
  <c r="AK4" i="4" s="1"/>
  <c r="F5" i="4"/>
  <c r="G5" i="4" s="1"/>
  <c r="AJ5" i="4"/>
  <c r="AK5" i="4" s="1"/>
  <c r="F6" i="4"/>
  <c r="G6" i="4" s="1"/>
  <c r="T6" i="4"/>
  <c r="U6" i="4" s="1"/>
  <c r="AB7" i="4"/>
  <c r="AC7" i="4" s="1"/>
  <c r="AR8" i="4"/>
  <c r="AS8" i="4" s="1"/>
  <c r="M8" i="4"/>
  <c r="N8" i="4" s="1"/>
  <c r="AJ8" i="4"/>
  <c r="AK8" i="4" s="1"/>
  <c r="AJ9" i="4"/>
  <c r="AK9" i="4" s="1"/>
  <c r="T9" i="4"/>
  <c r="U9" i="4" s="1"/>
  <c r="T3" i="4"/>
  <c r="U3" i="4" s="1"/>
  <c r="AJ3" i="4"/>
  <c r="AK3" i="4" s="1"/>
  <c r="AR4" i="4"/>
  <c r="AS4" i="4" s="1"/>
  <c r="AB6" i="4"/>
  <c r="AC6" i="4" s="1"/>
  <c r="AR5" i="4"/>
  <c r="AS5" i="4" s="1"/>
  <c r="M6" i="4"/>
  <c r="N6" i="4" s="1"/>
  <c r="F7" i="4"/>
  <c r="G7" i="4" s="1"/>
  <c r="T7" i="4"/>
  <c r="U7" i="4" s="1"/>
  <c r="F9" i="4"/>
  <c r="G9" i="4" s="1"/>
  <c r="T8" i="4"/>
  <c r="U8" i="4" s="1"/>
  <c r="AR11" i="4"/>
  <c r="AS11" i="4" s="1"/>
  <c r="M9" i="4"/>
  <c r="N9" i="4" s="1"/>
  <c r="M3" i="4"/>
  <c r="N3" i="4" s="1"/>
  <c r="AB4" i="4"/>
  <c r="AC4" i="4" s="1"/>
  <c r="AR3" i="4"/>
  <c r="AS3" i="4" s="1"/>
  <c r="AB5" i="4"/>
  <c r="AC5" i="4" s="1"/>
  <c r="M5" i="4"/>
  <c r="N5" i="4" s="1"/>
  <c r="AJ6" i="4"/>
  <c r="AK6" i="4" s="1"/>
  <c r="M7" i="4"/>
  <c r="N7" i="4" s="1"/>
  <c r="AB8" i="4"/>
  <c r="AC8" i="4" s="1"/>
  <c r="AB9" i="4"/>
  <c r="AC9" i="4" s="1"/>
  <c r="M10" i="4"/>
  <c r="N10" i="4" s="1"/>
  <c r="T10" i="4"/>
  <c r="U10" i="4" s="1"/>
  <c r="AB10" i="4"/>
  <c r="AC10" i="4" s="1"/>
  <c r="AB11" i="4"/>
  <c r="AC11" i="4" s="1"/>
  <c r="M4" i="4"/>
  <c r="N4" i="4" s="1"/>
  <c r="F4" i="4"/>
  <c r="G4" i="4" s="1"/>
  <c r="T4" i="4"/>
  <c r="U4" i="4" s="1"/>
  <c r="T5" i="4"/>
  <c r="U5" i="4" s="1"/>
  <c r="AR6" i="4"/>
  <c r="AS6" i="4" s="1"/>
  <c r="AR7" i="4"/>
  <c r="AS7" i="4" s="1"/>
  <c r="AJ7" i="4"/>
  <c r="AK7" i="4" s="1"/>
  <c r="F8" i="4"/>
  <c r="G8" i="4" s="1"/>
  <c r="AR9" i="4"/>
  <c r="AS9" i="4" s="1"/>
  <c r="AJ10" i="4"/>
  <c r="AK10" i="4" s="1"/>
  <c r="F11" i="4"/>
  <c r="G11" i="4" s="1"/>
  <c r="F10" i="4"/>
  <c r="G10" i="4" s="1"/>
  <c r="AJ11" i="4"/>
  <c r="AK11" i="4" s="1"/>
  <c r="M11" i="4"/>
  <c r="N11" i="4" s="1"/>
  <c r="F12" i="4"/>
  <c r="G12" i="4" s="1"/>
  <c r="AR12" i="4"/>
  <c r="AS12" i="4" s="1"/>
  <c r="T11" i="4"/>
  <c r="U11" i="4" s="1"/>
  <c r="AB12" i="4"/>
  <c r="AC12" i="4" s="1"/>
  <c r="AB13" i="4"/>
  <c r="AC13" i="4" s="1"/>
  <c r="T12" i="4"/>
  <c r="U12" i="4" s="1"/>
  <c r="AR13" i="4"/>
  <c r="AS13" i="4" s="1"/>
  <c r="F13" i="4"/>
  <c r="G13" i="4" s="1"/>
  <c r="M12" i="4"/>
  <c r="N12" i="4" s="1"/>
  <c r="AJ12" i="4"/>
  <c r="AK12" i="4" s="1"/>
  <c r="AB14" i="4"/>
  <c r="AC14" i="4" s="1"/>
  <c r="F14" i="4"/>
  <c r="G14" i="4" s="1"/>
  <c r="AR14" i="4"/>
  <c r="AS14" i="4" s="1"/>
  <c r="M13" i="4"/>
  <c r="N13" i="4" s="1"/>
  <c r="AJ13" i="4"/>
  <c r="AK13" i="4" s="1"/>
  <c r="T13" i="4"/>
  <c r="U13" i="4" s="1"/>
  <c r="F15" i="4"/>
  <c r="G15" i="4" s="1"/>
  <c r="T14" i="4"/>
  <c r="U14" i="4" s="1"/>
  <c r="AR15" i="4"/>
  <c r="AS15" i="4" s="1"/>
  <c r="AJ14" i="4"/>
  <c r="AK14" i="4" s="1"/>
  <c r="M14" i="4"/>
  <c r="N14" i="4" s="1"/>
  <c r="AB15" i="4"/>
  <c r="AC15" i="4" s="1"/>
  <c r="AJ15" i="4"/>
  <c r="AK15" i="4" s="1"/>
  <c r="AB16" i="4"/>
  <c r="AC16" i="4" s="1"/>
  <c r="T15" i="4"/>
  <c r="U15" i="4" s="1"/>
  <c r="AR16" i="4"/>
  <c r="AS16" i="4" s="1"/>
  <c r="F16" i="4"/>
  <c r="G16" i="4" s="1"/>
  <c r="M15" i="4"/>
  <c r="N15" i="4" s="1"/>
  <c r="T16" i="4"/>
  <c r="U16" i="4" s="1"/>
  <c r="F17" i="4"/>
  <c r="G17" i="4" s="1"/>
  <c r="AR17" i="4"/>
  <c r="AS17" i="4" s="1"/>
  <c r="M16" i="4"/>
  <c r="N16" i="4" s="1"/>
  <c r="AJ16" i="4"/>
  <c r="AK16" i="4" s="1"/>
  <c r="AB17" i="4"/>
  <c r="AC17" i="4" s="1"/>
  <c r="AJ17" i="4"/>
  <c r="AK17" i="4" s="1"/>
  <c r="T17" i="4"/>
  <c r="U17" i="4" s="1"/>
  <c r="AB18" i="4"/>
  <c r="AC18" i="4" s="1"/>
  <c r="M17" i="4"/>
  <c r="N17" i="4" s="1"/>
  <c r="AR18" i="4"/>
  <c r="AS18" i="4" s="1"/>
  <c r="F18" i="4"/>
  <c r="G18" i="4" s="1"/>
  <c r="T18" i="4"/>
  <c r="U18" i="4" s="1"/>
  <c r="M18" i="4"/>
  <c r="N18" i="4" s="1"/>
  <c r="AR19" i="4"/>
  <c r="AS19" i="4" s="1"/>
  <c r="AJ18" i="4"/>
  <c r="AK18" i="4" s="1"/>
  <c r="AB19" i="4"/>
  <c r="AC19" i="4" s="1"/>
  <c r="F19" i="4"/>
  <c r="G19" i="4" s="1"/>
  <c r="T19" i="4"/>
  <c r="U19" i="4" s="1"/>
  <c r="F20" i="4"/>
  <c r="G20" i="4" s="1"/>
  <c r="AR20" i="4"/>
  <c r="AS20" i="4" s="1"/>
  <c r="AJ19" i="4"/>
  <c r="AK19" i="4" s="1"/>
  <c r="AB20" i="4"/>
  <c r="AC20" i="4" s="1"/>
  <c r="M19" i="4"/>
  <c r="N19" i="4" s="1"/>
  <c r="AR21" i="4"/>
  <c r="AS21" i="4" s="1"/>
  <c r="AJ20" i="4"/>
  <c r="AK20" i="4" s="1"/>
  <c r="F21" i="4"/>
  <c r="G21" i="4" s="1"/>
  <c r="AB21" i="4"/>
  <c r="AC21" i="4" s="1"/>
  <c r="M20" i="4"/>
  <c r="N20" i="4" s="1"/>
  <c r="T20" i="4"/>
  <c r="U20" i="4" s="1"/>
  <c r="AJ21" i="4"/>
  <c r="AK21" i="4" s="1"/>
  <c r="AR22" i="4"/>
  <c r="AS22" i="4" s="1"/>
  <c r="M21" i="4"/>
  <c r="N21" i="4" s="1"/>
  <c r="AB22" i="4"/>
  <c r="AC22" i="4" s="1"/>
  <c r="T21" i="4"/>
  <c r="U21" i="4" s="1"/>
  <c r="F22" i="4"/>
  <c r="G22" i="4" s="1"/>
  <c r="AB23" i="4"/>
  <c r="AC23" i="4" s="1"/>
  <c r="M22" i="4"/>
  <c r="N22" i="4" s="1"/>
  <c r="F23" i="4"/>
  <c r="G23" i="4" s="1"/>
  <c r="T22" i="4"/>
  <c r="U22" i="4" s="1"/>
  <c r="AJ22" i="4"/>
  <c r="AK22" i="4" s="1"/>
  <c r="AR23" i="4"/>
  <c r="AS23" i="4" s="1"/>
  <c r="AJ23" i="4"/>
  <c r="AK23" i="4" s="1"/>
  <c r="T23" i="4"/>
  <c r="U23" i="4" s="1"/>
  <c r="AB24" i="4"/>
  <c r="AC24" i="4" s="1"/>
  <c r="AR24" i="4"/>
  <c r="AS24" i="4" s="1"/>
  <c r="F24" i="4"/>
  <c r="G24" i="4" s="1"/>
  <c r="M23" i="4"/>
  <c r="N23" i="4" s="1"/>
  <c r="F25" i="4"/>
  <c r="G25" i="4" s="1"/>
  <c r="AJ24" i="4"/>
  <c r="AK24" i="4" s="1"/>
  <c r="M24" i="4"/>
  <c r="N24" i="4" s="1"/>
  <c r="T24" i="4"/>
  <c r="U24" i="4" s="1"/>
  <c r="AR25" i="4"/>
  <c r="AS25" i="4" s="1"/>
  <c r="AB25" i="4"/>
  <c r="AC25" i="4" s="1"/>
  <c r="AR26" i="4"/>
  <c r="AS26" i="4" s="1"/>
  <c r="AJ25" i="4"/>
  <c r="AK25" i="4" s="1"/>
  <c r="F26" i="4"/>
  <c r="G26" i="4" s="1"/>
  <c r="M25" i="4"/>
  <c r="N25" i="4" s="1"/>
  <c r="AB26" i="4"/>
  <c r="AC26" i="4" s="1"/>
  <c r="T25" i="4"/>
  <c r="U25" i="4" s="1"/>
  <c r="AR27" i="4"/>
  <c r="AS27" i="4" s="1"/>
  <c r="M26" i="4"/>
  <c r="N26" i="4" s="1"/>
  <c r="AB27" i="4"/>
  <c r="AC27" i="4" s="1"/>
  <c r="T26" i="4"/>
  <c r="U26" i="4" s="1"/>
  <c r="AJ26" i="4"/>
  <c r="AK26" i="4" s="1"/>
  <c r="F27" i="4"/>
  <c r="G27" i="4" s="1"/>
  <c r="AR28" i="4"/>
  <c r="AS28" i="4" s="1"/>
  <c r="AB28" i="4"/>
  <c r="AC28" i="4" s="1"/>
  <c r="T27" i="4"/>
  <c r="U27" i="4" s="1"/>
  <c r="F28" i="4"/>
  <c r="G28" i="4" s="1"/>
  <c r="AJ27" i="4"/>
  <c r="AK27" i="4" s="1"/>
  <c r="M27" i="4"/>
  <c r="N27" i="4" s="1"/>
  <c r="AJ28" i="4"/>
  <c r="AK28" i="4" s="1"/>
  <c r="M28" i="4"/>
  <c r="N28" i="4" s="1"/>
  <c r="F29" i="4"/>
  <c r="G29" i="4" s="1"/>
  <c r="T28" i="4"/>
  <c r="U28" i="4" s="1"/>
  <c r="AB29" i="4"/>
  <c r="AC29" i="4" s="1"/>
  <c r="AR29" i="4"/>
  <c r="AS29" i="4" s="1"/>
  <c r="AR30" i="4"/>
  <c r="AS30" i="4" s="1"/>
  <c r="M29" i="4"/>
  <c r="N29" i="4" s="1"/>
  <c r="AB30" i="4"/>
  <c r="AC30" i="4" s="1"/>
  <c r="F30" i="4"/>
  <c r="G30" i="4" s="1"/>
  <c r="T29" i="4"/>
  <c r="U29" i="4" s="1"/>
  <c r="AJ29" i="4"/>
  <c r="AK29" i="4" s="1"/>
  <c r="AB31" i="4"/>
  <c r="AC31" i="4" s="1"/>
  <c r="M30" i="4"/>
  <c r="N30" i="4" s="1"/>
  <c r="F31" i="4"/>
  <c r="G31" i="4" s="1"/>
  <c r="AJ30" i="4"/>
  <c r="AK30" i="4" s="1"/>
  <c r="T30" i="4"/>
  <c r="U30" i="4" s="1"/>
  <c r="AR31" i="4"/>
  <c r="AS31" i="4" s="1"/>
  <c r="AR32" i="4"/>
  <c r="AS32" i="4" s="1"/>
  <c r="AJ31" i="4"/>
  <c r="AK31" i="4" s="1"/>
  <c r="M31" i="4"/>
  <c r="N31" i="4" s="1"/>
  <c r="AB32" i="4"/>
  <c r="AC32" i="4" s="1"/>
  <c r="F32" i="4"/>
  <c r="G32" i="4" s="1"/>
  <c r="T31" i="4"/>
  <c r="U31" i="4" s="1"/>
  <c r="AR33" i="4"/>
  <c r="AS33" i="4" s="1"/>
  <c r="M32" i="4"/>
  <c r="N32" i="4" s="1"/>
  <c r="T32" i="4"/>
  <c r="U32" i="4" s="1"/>
  <c r="AJ32" i="4"/>
  <c r="AK32" i="4" s="1"/>
  <c r="F33" i="4"/>
  <c r="G33" i="4" s="1"/>
  <c r="AB33" i="4"/>
  <c r="AC33" i="4" s="1"/>
  <c r="AB34" i="4"/>
  <c r="AC34" i="4" s="1"/>
  <c r="F34" i="4"/>
  <c r="G34" i="4" s="1"/>
  <c r="M33" i="4"/>
  <c r="N33" i="4" s="1"/>
  <c r="T33" i="4"/>
  <c r="U33" i="4" s="1"/>
  <c r="AJ33" i="4"/>
  <c r="AK33" i="4" s="1"/>
  <c r="AR34" i="4"/>
  <c r="AS34" i="4" s="1"/>
  <c r="AR35" i="4"/>
  <c r="AS35" i="4" s="1"/>
  <c r="M34" i="4"/>
  <c r="N34" i="4" s="1"/>
  <c r="AB35" i="4"/>
  <c r="AC35" i="4" s="1"/>
  <c r="F35" i="4"/>
  <c r="G35" i="4" s="1"/>
  <c r="T34" i="4"/>
  <c r="U34" i="4" s="1"/>
  <c r="AJ34" i="4"/>
  <c r="AK34" i="4" s="1"/>
  <c r="F36" i="4"/>
  <c r="G36" i="4" s="1"/>
  <c r="T35" i="4"/>
  <c r="U35" i="4" s="1"/>
  <c r="M35" i="4"/>
  <c r="N35" i="4" s="1"/>
  <c r="AR36" i="4"/>
  <c r="AS36" i="4" s="1"/>
  <c r="AB36" i="4"/>
  <c r="AC36" i="4" s="1"/>
  <c r="AJ35" i="4"/>
  <c r="AK35" i="4" s="1"/>
  <c r="F37" i="4"/>
  <c r="G37" i="4" s="1"/>
  <c r="M36" i="4"/>
  <c r="N36" i="4" s="1"/>
  <c r="T36" i="4"/>
  <c r="U36" i="4" s="1"/>
  <c r="AR37" i="4"/>
  <c r="AS37" i="4" s="1"/>
  <c r="AJ36" i="4"/>
  <c r="AK36" i="4" s="1"/>
  <c r="AB37" i="4"/>
  <c r="AC37" i="4" s="1"/>
  <c r="AJ37" i="4"/>
  <c r="AK37" i="4" s="1"/>
  <c r="AB38" i="4"/>
  <c r="AC38" i="4" s="1"/>
  <c r="T37" i="4"/>
  <c r="U37" i="4" s="1"/>
  <c r="AR38" i="4"/>
  <c r="AS38" i="4" s="1"/>
  <c r="F38" i="4"/>
  <c r="G38" i="4" s="1"/>
  <c r="M37" i="4"/>
  <c r="N37" i="4" s="1"/>
  <c r="T38" i="4"/>
  <c r="U38" i="4" s="1"/>
  <c r="AJ38" i="4"/>
  <c r="AK38" i="4" s="1"/>
  <c r="F39" i="4"/>
  <c r="G39" i="4" s="1"/>
  <c r="AR39" i="4"/>
  <c r="AS39" i="4" s="1"/>
  <c r="AB39" i="4"/>
  <c r="AC39" i="4" s="1"/>
  <c r="M38" i="4"/>
  <c r="N38" i="4" s="1"/>
  <c r="AJ39" i="4"/>
  <c r="AK39" i="4" s="1"/>
  <c r="AB40" i="4"/>
  <c r="AC40" i="4" s="1"/>
  <c r="M39" i="4"/>
  <c r="N39" i="4" s="1"/>
  <c r="T39" i="4"/>
  <c r="U39" i="4" s="1"/>
  <c r="F40" i="4"/>
  <c r="G40" i="4" s="1"/>
  <c r="AR40" i="4"/>
  <c r="AS40" i="4" s="1"/>
  <c r="AB41" i="4"/>
  <c r="AC41" i="4" s="1"/>
  <c r="M40" i="4"/>
  <c r="N40" i="4" s="1"/>
  <c r="AJ40" i="4"/>
  <c r="AK40" i="4" s="1"/>
  <c r="F41" i="4"/>
  <c r="G41" i="4" s="1"/>
  <c r="AR41" i="4"/>
  <c r="AS41" i="4" s="1"/>
  <c r="T40" i="4"/>
  <c r="U40" i="4" s="1"/>
  <c r="M41" i="4"/>
  <c r="N41" i="4" s="1"/>
  <c r="F42" i="4"/>
  <c r="G42" i="4" s="1"/>
  <c r="T41" i="4"/>
  <c r="U41" i="4" s="1"/>
  <c r="AR42" i="4"/>
  <c r="AS42" i="4" s="1"/>
  <c r="AJ41" i="4"/>
  <c r="AK41" i="4" s="1"/>
  <c r="AB42" i="4"/>
  <c r="AC42" i="4" s="1"/>
  <c r="F43" i="4"/>
  <c r="G43" i="4" s="1"/>
  <c r="AJ42" i="4"/>
  <c r="AK42" i="4" s="1"/>
  <c r="AR43" i="4"/>
  <c r="AS43" i="4" s="1"/>
  <c r="T42" i="4"/>
  <c r="U42" i="4" s="1"/>
  <c r="M42" i="4"/>
  <c r="N42" i="4" s="1"/>
  <c r="AB43" i="4"/>
  <c r="AC43" i="4" s="1"/>
  <c r="AR44" i="4"/>
  <c r="AS44" i="4" s="1"/>
  <c r="M43" i="4"/>
  <c r="N43" i="4" s="1"/>
  <c r="AB44" i="4"/>
  <c r="AC44" i="4" s="1"/>
  <c r="T43" i="4"/>
  <c r="U43" i="4" s="1"/>
  <c r="AJ43" i="4"/>
  <c r="AK43" i="4" s="1"/>
  <c r="F44" i="4"/>
  <c r="G44" i="4" s="1"/>
  <c r="AB45" i="4"/>
  <c r="AC45" i="4" s="1"/>
  <c r="AR45" i="4"/>
  <c r="AS45" i="4" s="1"/>
  <c r="AJ44" i="4"/>
  <c r="AK44" i="4" s="1"/>
  <c r="M44" i="4"/>
  <c r="N44" i="4" s="1"/>
  <c r="T44" i="4"/>
  <c r="U44" i="4" s="1"/>
  <c r="F45" i="4"/>
  <c r="G45" i="4" s="1"/>
  <c r="AB46" i="4"/>
  <c r="AC46" i="4" s="1"/>
  <c r="M45" i="4"/>
  <c r="N45" i="4" s="1"/>
  <c r="AR46" i="4"/>
  <c r="AS46" i="4" s="1"/>
  <c r="T45" i="4"/>
  <c r="U45" i="4" s="1"/>
  <c r="AJ45" i="4"/>
  <c r="AK45" i="4" s="1"/>
  <c r="F46" i="4"/>
  <c r="G46" i="4" s="1"/>
  <c r="M46" i="4"/>
  <c r="N46" i="4" s="1"/>
  <c r="AR47" i="4"/>
  <c r="AS47" i="4" s="1"/>
  <c r="AJ46" i="4"/>
  <c r="AK46" i="4" s="1"/>
  <c r="AB47" i="4"/>
  <c r="AC47" i="4" s="1"/>
  <c r="T46" i="4"/>
  <c r="U46" i="4" s="1"/>
  <c r="F47" i="4"/>
  <c r="G47" i="4" s="1"/>
  <c r="AJ47" i="4"/>
  <c r="AK47" i="4" s="1"/>
  <c r="T47" i="4"/>
  <c r="U47" i="4" s="1"/>
  <c r="F48" i="4"/>
  <c r="G48" i="4" s="1"/>
  <c r="AR48" i="4"/>
  <c r="AS48" i="4" s="1"/>
  <c r="M47" i="4"/>
  <c r="N47" i="4" s="1"/>
  <c r="AB48" i="4"/>
  <c r="AC48" i="4" s="1"/>
  <c r="T48" i="4"/>
  <c r="U48" i="4" s="1"/>
  <c r="AB49" i="4"/>
  <c r="AC49" i="4" s="1"/>
  <c r="AJ48" i="4"/>
  <c r="AK48" i="4" s="1"/>
  <c r="M48" i="4"/>
  <c r="N48" i="4" s="1"/>
  <c r="F49" i="4"/>
  <c r="G49" i="4" s="1"/>
  <c r="AR49" i="4"/>
  <c r="AS49" i="4" s="1"/>
  <c r="M49" i="4"/>
  <c r="N49" i="4" s="1"/>
  <c r="F50" i="4"/>
  <c r="G50" i="4" s="1"/>
  <c r="T49" i="4"/>
  <c r="U49" i="4" s="1"/>
  <c r="AB50" i="4"/>
  <c r="AC50" i="4" s="1"/>
  <c r="AJ49" i="4"/>
  <c r="AK49" i="4" s="1"/>
  <c r="AR50" i="4"/>
  <c r="AS50" i="4" s="1"/>
  <c r="AJ50" i="4"/>
  <c r="AK50" i="4" s="1"/>
  <c r="M50" i="4"/>
  <c r="N50" i="4" s="1"/>
  <c r="T50" i="4"/>
  <c r="U50" i="4" s="1"/>
  <c r="AB51" i="4" l="1"/>
  <c r="AC51" i="4" s="1"/>
  <c r="G2" i="6" s="1"/>
  <c r="AR51" i="4"/>
  <c r="AS51" i="4" s="1"/>
  <c r="L2" i="6" s="1"/>
  <c r="E7" i="6" l="1"/>
  <c r="E8" i="6" s="1"/>
  <c r="F7" i="6" l="1"/>
  <c r="F8" i="6"/>
  <c r="E9" i="6"/>
  <c r="E10" i="6" s="1"/>
  <c r="J8" i="6" s="1"/>
  <c r="F10" i="6" l="1"/>
  <c r="F9" i="6"/>
  <c r="J9" i="6" l="1"/>
  <c r="J10" i="6" s="1"/>
  <c r="K8" i="6"/>
  <c r="E11" i="6" l="1"/>
  <c r="J11" i="6" s="1"/>
  <c r="O8" i="6"/>
  <c r="K10" i="6"/>
  <c r="K9" i="6"/>
  <c r="O11" i="6" l="1"/>
  <c r="E12" i="6"/>
  <c r="O9" i="6"/>
  <c r="O10" i="6" s="1"/>
  <c r="P8" i="6"/>
  <c r="F11" i="6" l="1"/>
  <c r="P10" i="6"/>
  <c r="P9" i="6"/>
  <c r="P11" i="6" l="1"/>
  <c r="K11" i="6"/>
  <c r="F12" i="6" l="1"/>
  <c r="E13" i="6" l="1"/>
  <c r="F13" i="6" s="1"/>
  <c r="E14" i="6" l="1"/>
  <c r="E15" i="6" s="1"/>
  <c r="F14" i="6" l="1"/>
  <c r="F15" i="6"/>
  <c r="E16" i="6"/>
  <c r="E17" i="6" l="1"/>
  <c r="F16" i="6"/>
  <c r="E18" i="6" l="1"/>
  <c r="F17" i="6"/>
  <c r="E19" i="6" l="1"/>
  <c r="F18" i="6"/>
  <c r="E20" i="6" l="1"/>
  <c r="F19" i="6"/>
  <c r="E21" i="6" l="1"/>
  <c r="F20" i="6"/>
  <c r="F21" i="6" l="1"/>
  <c r="E22" i="6"/>
  <c r="F22" i="6" l="1"/>
  <c r="E23" i="6"/>
  <c r="E24" i="6" l="1"/>
  <c r="F23" i="6"/>
  <c r="F24" i="6" l="1"/>
  <c r="E25" i="6"/>
  <c r="E26" i="6" s="1"/>
  <c r="E27" i="6" l="1"/>
  <c r="F26" i="6"/>
  <c r="F25" i="6"/>
  <c r="F27" i="6" l="1"/>
  <c r="E28" i="6"/>
  <c r="F28" i="6" l="1"/>
  <c r="J12" i="6"/>
  <c r="K12" i="6" l="1"/>
  <c r="J13" i="6"/>
  <c r="K13" i="6" l="1"/>
  <c r="J14" i="6"/>
  <c r="J15" i="6" l="1"/>
  <c r="K14" i="6"/>
  <c r="K15" i="6" l="1"/>
  <c r="J16" i="6"/>
  <c r="K16" i="6" l="1"/>
  <c r="J17" i="6"/>
  <c r="K17" i="6" l="1"/>
  <c r="J18" i="6"/>
  <c r="J19" i="6" l="1"/>
  <c r="K18" i="6"/>
  <c r="K19" i="6" l="1"/>
  <c r="J20" i="6"/>
  <c r="K20" i="6" l="1"/>
  <c r="J21" i="6"/>
  <c r="K21" i="6" l="1"/>
  <c r="J22" i="6"/>
  <c r="J23" i="6" l="1"/>
  <c r="K22" i="6"/>
  <c r="J24" i="6" l="1"/>
  <c r="K23" i="6"/>
  <c r="K24" i="6" l="1"/>
  <c r="J25" i="6"/>
  <c r="J26" i="6" l="1"/>
  <c r="K25" i="6"/>
  <c r="J27" i="6" l="1"/>
  <c r="K26" i="6"/>
  <c r="K27" i="6" l="1"/>
  <c r="J28" i="6"/>
  <c r="E29" i="6" s="1"/>
  <c r="K28" i="6" l="1"/>
  <c r="O12" i="6"/>
  <c r="O13" i="6" l="1"/>
  <c r="P12" i="6"/>
  <c r="O14" i="6" l="1"/>
  <c r="P13" i="6"/>
  <c r="P14" i="6" l="1"/>
  <c r="O15" i="6"/>
  <c r="O16" i="6" l="1"/>
  <c r="P15" i="6"/>
  <c r="P16" i="6" l="1"/>
  <c r="O17" i="6"/>
  <c r="E6" i="20"/>
  <c r="F6" i="20" s="1"/>
  <c r="F7" i="20" s="1"/>
  <c r="E7" i="20" s="1"/>
  <c r="P17" i="6" l="1"/>
  <c r="O18" i="6"/>
  <c r="P18" i="6" l="1"/>
  <c r="O19" i="6"/>
  <c r="O20" i="6" l="1"/>
  <c r="P19" i="6"/>
  <c r="P20" i="6" l="1"/>
  <c r="O21" i="6"/>
  <c r="O22" i="6" l="1"/>
  <c r="P21" i="6"/>
  <c r="P22" i="6" l="1"/>
  <c r="O23" i="6"/>
  <c r="O24" i="6" l="1"/>
  <c r="P23" i="6"/>
  <c r="O25" i="6" l="1"/>
  <c r="P24" i="6"/>
  <c r="O26" i="6" l="1"/>
  <c r="P25" i="6"/>
  <c r="P26" i="6" l="1"/>
  <c r="O27" i="6"/>
  <c r="O28" i="6" l="1"/>
  <c r="P27" i="6"/>
  <c r="P28" i="6" l="1"/>
  <c r="E30" i="6" l="1"/>
  <c r="F29" i="6"/>
  <c r="F30" i="6" l="1"/>
  <c r="E31" i="6"/>
  <c r="E32" i="6" l="1"/>
  <c r="F31" i="6"/>
  <c r="F32" i="6" l="1"/>
  <c r="J30" i="6"/>
  <c r="K30" i="6" l="1"/>
  <c r="J31" i="6"/>
  <c r="K31" i="6" l="1"/>
  <c r="J32" i="6"/>
  <c r="E33" i="6" s="1"/>
  <c r="K32" i="6" l="1"/>
  <c r="O30" i="6"/>
  <c r="P30" i="6" l="1"/>
  <c r="O31" i="6"/>
  <c r="O32" i="6" l="1"/>
  <c r="P31" i="6"/>
  <c r="P32" i="6" l="1"/>
  <c r="F33" i="6" l="1"/>
  <c r="J33" i="6"/>
  <c r="E34" i="6" s="1"/>
  <c r="O33" i="6" l="1"/>
  <c r="K33" i="6"/>
  <c r="P33" i="6" l="1"/>
  <c r="E35" i="6" l="1"/>
  <c r="F34" i="6"/>
  <c r="E36" i="6" l="1"/>
  <c r="F35" i="6"/>
  <c r="E37" i="6" l="1"/>
  <c r="F36" i="6"/>
  <c r="F37" i="6" l="1"/>
  <c r="E38" i="6"/>
  <c r="E39" i="6" l="1"/>
  <c r="F38" i="6"/>
  <c r="F39" i="6" l="1"/>
  <c r="E40" i="6"/>
  <c r="E41" i="6" l="1"/>
  <c r="F40" i="6"/>
  <c r="E42" i="6" l="1"/>
  <c r="F41" i="6"/>
  <c r="E43" i="6" l="1"/>
  <c r="F42" i="6"/>
  <c r="E44" i="6" l="1"/>
  <c r="F43" i="6"/>
  <c r="E45" i="6" l="1"/>
  <c r="F44" i="6"/>
  <c r="E46" i="6" l="1"/>
  <c r="F45" i="6"/>
  <c r="F46" i="6" l="1"/>
  <c r="E47" i="6"/>
  <c r="E48" i="6" l="1"/>
  <c r="F47" i="6"/>
  <c r="E49" i="6" l="1"/>
  <c r="F48" i="6"/>
  <c r="F49" i="6" l="1"/>
  <c r="E50" i="6"/>
  <c r="J34" i="6" l="1"/>
  <c r="F50" i="6"/>
  <c r="K34" i="6" l="1"/>
  <c r="J35" i="6"/>
  <c r="J36" i="6" l="1"/>
  <c r="K35" i="6"/>
  <c r="J37" i="6" l="1"/>
  <c r="K36" i="6"/>
  <c r="K37" i="6" l="1"/>
  <c r="J38" i="6"/>
  <c r="J39" i="6" l="1"/>
  <c r="K38" i="6"/>
  <c r="K39" i="6" l="1"/>
  <c r="J40" i="6"/>
  <c r="K40" i="6" l="1"/>
  <c r="J41" i="6"/>
  <c r="K41" i="6" l="1"/>
  <c r="J42" i="6"/>
  <c r="K42" i="6" l="1"/>
  <c r="J43" i="6"/>
  <c r="K43" i="6" l="1"/>
  <c r="J44" i="6"/>
  <c r="J45" i="6" l="1"/>
  <c r="K44" i="6"/>
  <c r="K45" i="6" l="1"/>
  <c r="J46" i="6"/>
  <c r="J47" i="6" l="1"/>
  <c r="K46" i="6"/>
  <c r="J48" i="6" l="1"/>
  <c r="K47" i="6"/>
  <c r="K48" i="6" l="1"/>
  <c r="J49" i="6"/>
  <c r="K49" i="6" l="1"/>
  <c r="J50" i="6"/>
  <c r="E51" i="6" s="1"/>
  <c r="K50" i="6" l="1"/>
  <c r="O34" i="6"/>
  <c r="O35" i="6" l="1"/>
  <c r="P34" i="6"/>
  <c r="O36" i="6" l="1"/>
  <c r="P35" i="6"/>
  <c r="O37" i="6" l="1"/>
  <c r="P36" i="6"/>
  <c r="O38" i="6" l="1"/>
  <c r="P37" i="6"/>
  <c r="O39" i="6" l="1"/>
  <c r="P38" i="6"/>
  <c r="O40" i="6" l="1"/>
  <c r="P39" i="6"/>
  <c r="O41" i="6" l="1"/>
  <c r="P40" i="6"/>
  <c r="P41" i="6" l="1"/>
  <c r="O42" i="6"/>
  <c r="P42" i="6" l="1"/>
  <c r="O43" i="6"/>
  <c r="O44" i="6" l="1"/>
  <c r="P43" i="6"/>
  <c r="P44" i="6" l="1"/>
  <c r="O45" i="6"/>
  <c r="O46" i="6" l="1"/>
  <c r="P45" i="6"/>
  <c r="P46" i="6" l="1"/>
  <c r="O47" i="6"/>
  <c r="O48" i="6" l="1"/>
  <c r="P47" i="6"/>
  <c r="O49" i="6" l="1"/>
  <c r="P48" i="6"/>
  <c r="P49" i="6" l="1"/>
  <c r="O50" i="6"/>
  <c r="P50" i="6" l="1"/>
  <c r="E52" i="6" l="1"/>
  <c r="F51" i="6"/>
  <c r="F52" i="6" l="1"/>
  <c r="O3" i="8"/>
  <c r="E22" i="8" l="1"/>
  <c r="E15" i="8"/>
  <c r="E27" i="8"/>
  <c r="E23" i="8"/>
  <c r="E45" i="8"/>
  <c r="E43" i="8"/>
  <c r="E44" i="8"/>
  <c r="E21" i="8"/>
  <c r="E19" i="8"/>
  <c r="E39" i="8"/>
  <c r="E40" i="8"/>
  <c r="E46" i="8"/>
  <c r="E16" i="8"/>
  <c r="E25" i="8"/>
  <c r="E17" i="8"/>
  <c r="E14" i="8"/>
  <c r="E18" i="8"/>
  <c r="E42" i="8"/>
  <c r="E41" i="8"/>
  <c r="E20" i="8"/>
  <c r="E47" i="8"/>
  <c r="Q2" i="9" s="1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F3" i="10" s="1"/>
  <c r="E24" i="8"/>
  <c r="E26" i="8"/>
  <c r="E13" i="10" l="1"/>
  <c r="E19" i="10"/>
  <c r="E15" i="10"/>
  <c r="E12" i="10"/>
  <c r="E11" i="10"/>
  <c r="E9" i="10"/>
  <c r="E20" i="10"/>
  <c r="P3" i="14" s="1"/>
  <c r="E10" i="10"/>
  <c r="E18" i="10"/>
  <c r="E8" i="10"/>
  <c r="E14" i="10"/>
  <c r="E16" i="10"/>
  <c r="E17" i="10"/>
  <c r="E7" i="10"/>
  <c r="D12" i="14" l="1"/>
  <c r="S3" i="17" s="1"/>
  <c r="F7" i="17" s="1"/>
  <c r="F8" i="17" s="1"/>
  <c r="F9" i="17" s="1"/>
  <c r="F10" i="17" s="1"/>
  <c r="F11" i="17" s="1"/>
  <c r="F12" i="17" s="1"/>
  <c r="F13" i="17" s="1"/>
  <c r="F14" i="17" s="1"/>
  <c r="F15" i="17" s="1"/>
  <c r="F16" i="17" s="1"/>
  <c r="F17" i="17" s="1"/>
  <c r="F18" i="17" s="1"/>
  <c r="F19" i="17" s="1"/>
  <c r="D11" i="14"/>
  <c r="D10" i="14"/>
</calcChain>
</file>

<file path=xl/sharedStrings.xml><?xml version="1.0" encoding="utf-8"?>
<sst xmlns="http://schemas.openxmlformats.org/spreadsheetml/2006/main" count="752" uniqueCount="351">
  <si>
    <t>remarks</t>
  </si>
  <si>
    <t>kwh</t>
  </si>
  <si>
    <t>address</t>
  </si>
  <si>
    <t>stored @ EEPROM address
in HEX</t>
  </si>
  <si>
    <t>stored @ EEPROM address
in DEC</t>
  </si>
  <si>
    <t>TamperCount</t>
  </si>
  <si>
    <t>POWER_FAIL</t>
  </si>
  <si>
    <t>RTC</t>
  </si>
  <si>
    <t>DEMAND_INT</t>
  </si>
  <si>
    <t>PROFILE_CAPTURE</t>
  </si>
  <si>
    <t>SINGLE_ACTION</t>
  </si>
  <si>
    <t>ACTIVITY_CALENDER</t>
  </si>
  <si>
    <t>MAGNET</t>
  </si>
  <si>
    <t>NEUTRAL_DISTURBANCE</t>
  </si>
  <si>
    <t>VERY_LOWPF</t>
  </si>
  <si>
    <t>METER_OPEN</t>
  </si>
  <si>
    <t>currents</t>
  </si>
  <si>
    <t>voltages</t>
  </si>
  <si>
    <t>eventID status(101,102)</t>
  </si>
  <si>
    <t>eventID status(151)</t>
  </si>
  <si>
    <t>eventID status(152)</t>
  </si>
  <si>
    <t>eventID status(153)</t>
  </si>
  <si>
    <t>eventID status(154)</t>
  </si>
  <si>
    <t>eventID status(155)</t>
  </si>
  <si>
    <t>eventID status(201,202)</t>
  </si>
  <si>
    <t>eventID status(203,204)</t>
  </si>
  <si>
    <t>eventID status(205,206)</t>
  </si>
  <si>
    <t>eventID status(251)</t>
  </si>
  <si>
    <t>eventID status(301,302)</t>
  </si>
  <si>
    <t>NOT USED</t>
  </si>
  <si>
    <t>METER_CONNECT</t>
  </si>
  <si>
    <t>power</t>
  </si>
  <si>
    <t>transaction related</t>
  </si>
  <si>
    <t>magnetic</t>
  </si>
  <si>
    <t>coveropen</t>
  </si>
  <si>
    <t>voltage_event_code</t>
  </si>
  <si>
    <t>current_event_code</t>
  </si>
  <si>
    <t>Power_event_code</t>
  </si>
  <si>
    <t>transaction_event_code</t>
  </si>
  <si>
    <t>magnetic_event_code</t>
  </si>
  <si>
    <t>coveropen_event_code</t>
  </si>
  <si>
    <t>tamper count</t>
  </si>
  <si>
    <t>voltage event</t>
  </si>
  <si>
    <t>current event</t>
  </si>
  <si>
    <t>power event</t>
  </si>
  <si>
    <t>rtansaction event</t>
  </si>
  <si>
    <t>magnetic event</t>
  </si>
  <si>
    <t>cover open event</t>
  </si>
  <si>
    <t>control_event_code</t>
  </si>
  <si>
    <t>UN USED</t>
  </si>
  <si>
    <t>control event</t>
  </si>
  <si>
    <t>day</t>
  </si>
  <si>
    <t>hour</t>
  </si>
  <si>
    <t>mins</t>
  </si>
  <si>
    <t>slotnum</t>
  </si>
  <si>
    <t>numberofbytes to store</t>
  </si>
  <si>
    <t>LOAD SURVEY BASE ADRESS</t>
  </si>
  <si>
    <t>load survey last known data is stored here</t>
  </si>
  <si>
    <t>parameter</t>
  </si>
  <si>
    <t>year_100</t>
  </si>
  <si>
    <t>year</t>
  </si>
  <si>
    <t>month</t>
  </si>
  <si>
    <t>date</t>
  </si>
  <si>
    <t>minutes</t>
  </si>
  <si>
    <t>secs</t>
  </si>
  <si>
    <t>LS-vr</t>
  </si>
  <si>
    <t>LS_kwh</t>
  </si>
  <si>
    <t>LS_kvarhlag</t>
  </si>
  <si>
    <t>LS_kvarhlead</t>
  </si>
  <si>
    <t>LS_kvah</t>
  </si>
  <si>
    <t>LS_numentries</t>
  </si>
  <si>
    <t>LS_startdate</t>
  </si>
  <si>
    <t>LS_RefAddress</t>
  </si>
  <si>
    <t>Calendar_name_Active</t>
  </si>
  <si>
    <t>EEPROM Address in HEX</t>
  </si>
  <si>
    <t>Season_profile_name</t>
  </si>
  <si>
    <t>Season_start</t>
  </si>
  <si>
    <t>numb_bytes</t>
  </si>
  <si>
    <t>Week_name</t>
  </si>
  <si>
    <t>day id</t>
  </si>
  <si>
    <t>start time</t>
  </si>
  <si>
    <t>script_logical_name</t>
  </si>
  <si>
    <t>script_selector</t>
  </si>
  <si>
    <t>activate_time</t>
  </si>
  <si>
    <t>Calendar_name_Pasive</t>
  </si>
  <si>
    <t>num_of_tou</t>
  </si>
  <si>
    <t>num of tou</t>
  </si>
  <si>
    <t>Activity calendar profile in EEPROM</t>
  </si>
  <si>
    <t>EEPROM address in Decimal</t>
  </si>
  <si>
    <t>billing_param (Table 29)</t>
  </si>
  <si>
    <t>billing date</t>
  </si>
  <si>
    <t>pf</t>
  </si>
  <si>
    <t>kvah</t>
  </si>
  <si>
    <t>kw</t>
  </si>
  <si>
    <t>kva</t>
  </si>
  <si>
    <t>billing count</t>
  </si>
  <si>
    <t>YEAR_HIGH</t>
  </si>
  <si>
    <t>YEAR_LOW</t>
  </si>
  <si>
    <t>DATE</t>
  </si>
  <si>
    <t>MONTH</t>
  </si>
  <si>
    <t>DAY</t>
  </si>
  <si>
    <t>HOUR</t>
  </si>
  <si>
    <t>MINUTES</t>
  </si>
  <si>
    <t>SECONDS</t>
  </si>
  <si>
    <t>Subseconds</t>
  </si>
  <si>
    <t>current billing</t>
  </si>
  <si>
    <t>billing-1</t>
  </si>
  <si>
    <t>billing-2</t>
  </si>
  <si>
    <t>billing-3</t>
  </si>
  <si>
    <t>billing-4</t>
  </si>
  <si>
    <t>billing-5</t>
  </si>
  <si>
    <t>billing-6</t>
  </si>
  <si>
    <t>not Applicable</t>
  </si>
  <si>
    <t>BILLING DATE ADDRESS</t>
  </si>
  <si>
    <t>dlms_available_billing_period</t>
  </si>
  <si>
    <t>bytes</t>
  </si>
  <si>
    <t>HEX</t>
  </si>
  <si>
    <t>kwh_tz[0]</t>
  </si>
  <si>
    <t>kwh_tz[1]</t>
  </si>
  <si>
    <t>kwh_tz[2]</t>
  </si>
  <si>
    <t>kwh_tz[3]</t>
  </si>
  <si>
    <t>kvah_tz[0]</t>
  </si>
  <si>
    <t>kvah_tz[1]</t>
  </si>
  <si>
    <t>kvah_tz[2]</t>
  </si>
  <si>
    <t>kvah_tz[3]</t>
  </si>
  <si>
    <t>kw_date</t>
  </si>
  <si>
    <t>kva_date</t>
  </si>
  <si>
    <t>TOTAL</t>
  </si>
  <si>
    <t>address offset</t>
  </si>
  <si>
    <t>object_id</t>
  </si>
  <si>
    <t>season profile</t>
  </si>
  <si>
    <t>calendar name</t>
  </si>
  <si>
    <t>num_bytes</t>
  </si>
  <si>
    <t>dlms_num_tampercount</t>
  </si>
  <si>
    <t>dlms_cumulative_billing_count</t>
  </si>
  <si>
    <t>dlms_cumulative_pgm_count</t>
  </si>
  <si>
    <t>dlms_cumulative_energy_kwh</t>
  </si>
  <si>
    <t>dlms_cumulative_energy_kvah</t>
  </si>
  <si>
    <t>meter_id</t>
  </si>
  <si>
    <t>dlms_profile_capture_period</t>
  </si>
  <si>
    <t>dlms_demand_integration_period</t>
  </si>
  <si>
    <t>Parameter</t>
  </si>
  <si>
    <t>Example of Load survey storage at EEPROM</t>
  </si>
  <si>
    <t>Next block storage here</t>
  </si>
  <si>
    <t>address in hex @EEPROM</t>
  </si>
  <si>
    <t>power fail date (YEAR,MONTH,DATE,HOUR,MIN,SEC)</t>
  </si>
  <si>
    <t>DLMS_MISC_BASEADDRESS</t>
  </si>
  <si>
    <t>subsecs</t>
  </si>
  <si>
    <t>dev</t>
  </si>
  <si>
    <t>sts</t>
  </si>
  <si>
    <t>subsec</t>
  </si>
  <si>
    <t>md_refaddress</t>
  </si>
  <si>
    <t>md_startdate</t>
  </si>
  <si>
    <t>billing_count</t>
  </si>
  <si>
    <t>MDkWhStart</t>
  </si>
  <si>
    <t>LLS password</t>
  </si>
  <si>
    <t>HLS password</t>
  </si>
  <si>
    <t>MDKvarhStart</t>
  </si>
  <si>
    <t>eventID status(69,70)</t>
  </si>
  <si>
    <t>Earth Loading</t>
  </si>
  <si>
    <t>eventID status(207,208)</t>
  </si>
  <si>
    <t>Neutral missing</t>
  </si>
  <si>
    <t>30 bytes</t>
  </si>
  <si>
    <t>sizeof_event buffer</t>
  </si>
  <si>
    <t>event log of 30 bytes</t>
  </si>
  <si>
    <t>Next available memory</t>
  </si>
  <si>
    <t>block load survey parameters : 1-phase</t>
  </si>
  <si>
    <t>slots_per_day_1phase</t>
  </si>
  <si>
    <t>LS_vr</t>
  </si>
  <si>
    <t>1-phase Tamper data storage in EEPROM 
( 20+50 events)
(event log of 30 bytes)</t>
  </si>
  <si>
    <t>Activity calendar profile in EEPROM for 1-phase</t>
  </si>
  <si>
    <t>BASEADDRESS_ACAL</t>
  </si>
  <si>
    <t>billing_param (Table 29) 1-phase</t>
  </si>
  <si>
    <t>Single-action Schedule for Billing
Dates : 1-phase</t>
  </si>
  <si>
    <t>BILLING DATE ADDRESS-1PHASE</t>
  </si>
  <si>
    <t>numberofbytes to store for 1 phase</t>
  </si>
  <si>
    <t>1-phase password storage</t>
  </si>
  <si>
    <t>power on duration</t>
  </si>
  <si>
    <t>DAILYLOAD SURVEY BASE ADRESS_1phase</t>
  </si>
  <si>
    <t>DLS_numbytestostore_1phase</t>
  </si>
  <si>
    <t>offset (hex)</t>
  </si>
  <si>
    <t>DLMS-maxdays</t>
  </si>
  <si>
    <t>Single phase Instantaneous Parameters (Table 43) - 1-phase</t>
  </si>
  <si>
    <t>for backward compatibility</t>
  </si>
  <si>
    <t>dlms_poweron_dur_billing_seconds</t>
  </si>
  <si>
    <t>ADDR_OTHERS</t>
  </si>
  <si>
    <t>kwh_start</t>
  </si>
  <si>
    <t>kwh_finish</t>
  </si>
  <si>
    <t>other parameters in 1 phase</t>
  </si>
  <si>
    <t>METERID_BASEADDRESS</t>
  </si>
  <si>
    <t>DLS_numentries</t>
  </si>
  <si>
    <t>DLS_startdate</t>
  </si>
  <si>
    <t>DLS_RefAddress</t>
  </si>
  <si>
    <t>Kvah_start</t>
  </si>
  <si>
    <t>act cal base address</t>
  </si>
  <si>
    <t>EVENTTYPES_BASEADDRESS</t>
  </si>
  <si>
    <t>Daily load survey parameters : 1-phase (TBD)</t>
  </si>
  <si>
    <t>Extra parameters in 3 phase</t>
  </si>
  <si>
    <t>time_zone</t>
  </si>
  <si>
    <t>EXTRA_ADDRESS</t>
  </si>
  <si>
    <t>Event ID status</t>
  </si>
  <si>
    <t>EEPROM address (hex)</t>
  </si>
  <si>
    <t>EEPROM address (dec)</t>
  </si>
  <si>
    <t>EEPROM offset index</t>
  </si>
  <si>
    <t>number of storage bytes</t>
  </si>
  <si>
    <t>Remark</t>
  </si>
  <si>
    <t>EVENTLOG_BASE_ADDRESS</t>
  </si>
  <si>
    <t>EVENTIDS_BASEADDRESS</t>
  </si>
  <si>
    <t>code reference</t>
  </si>
  <si>
    <t>numberofbytes_to store_1phase</t>
  </si>
  <si>
    <t>LOADSURVEY_BUF_SIZE</t>
  </si>
  <si>
    <t>LOAD_SURVEY_REF_ADDRESS</t>
  </si>
  <si>
    <t>LOADSURVEY_REFBUF_SIZE</t>
  </si>
  <si>
    <t>next available address</t>
  </si>
  <si>
    <t>Offset from base address (hex)</t>
  </si>
  <si>
    <t>attribute number</t>
  </si>
  <si>
    <t>DAYX_TZ_BASE_ADDRESS</t>
  </si>
  <si>
    <t>PASCAL_BASEADDRESS</t>
  </si>
  <si>
    <t>ACTCAL_BASEADDRESS</t>
  </si>
  <si>
    <t>ACTCAL_ACTTIME_BASEADDRESS</t>
  </si>
  <si>
    <t>ACTIVE_CAL_DAYID_OFFSET</t>
  </si>
  <si>
    <t>PASSIVE_CAL_DAYID_OFFSET</t>
  </si>
  <si>
    <t>address offset (HEX)</t>
  </si>
  <si>
    <t>Next Available Memory</t>
  </si>
  <si>
    <t>Next available address</t>
  </si>
  <si>
    <t>DAILYLOADSURVEY_REF_ADDRESS</t>
  </si>
  <si>
    <t>LOADSURVEY_REF_ADDRESS</t>
  </si>
  <si>
    <t>OTHER_ADDRESS</t>
  </si>
  <si>
    <t>ac_changed</t>
  </si>
  <si>
    <t>BILLING_PARAM_BASEADDRESS</t>
  </si>
  <si>
    <t>BILLING_PARAM_SIZE</t>
  </si>
  <si>
    <t>INSTANT_PARAM_BASEADDRESS</t>
  </si>
  <si>
    <t>event_extended_data(voltage)</t>
  </si>
  <si>
    <t>event_extended_data(current)</t>
  </si>
  <si>
    <t>event_extended_data(power)</t>
  </si>
  <si>
    <t>event_extended_data(transaction)</t>
  </si>
  <si>
    <t>event_extended_data(others)</t>
  </si>
  <si>
    <t>event_extended_data(non_rollovere)</t>
  </si>
  <si>
    <t>event occurrence/restoration
+ date_time</t>
  </si>
  <si>
    <t>EVENT_EXTENDEDTYPE_BASEADDRESS</t>
  </si>
  <si>
    <t>execution_billing_date[0]</t>
  </si>
  <si>
    <t>execution_billing_date[1]</t>
  </si>
  <si>
    <t>execution_billing_date[2]</t>
  </si>
  <si>
    <t>execution_billing_date[3]</t>
  </si>
  <si>
    <t>execution_billing_date[4]</t>
  </si>
  <si>
    <t>execution_billing_date[5]</t>
  </si>
  <si>
    <t>execution_billing_date[6]</t>
  </si>
  <si>
    <t>execution_billing_date[7]</t>
  </si>
  <si>
    <t>execution_billing_date[8]</t>
  </si>
  <si>
    <t>execution_billing_date[9]</t>
  </si>
  <si>
    <t>AC_CHANGED_ADDRESS</t>
  </si>
  <si>
    <t>PASCAL_WEEKPROFILE_ADDRESS</t>
  </si>
  <si>
    <t>week_profile_name</t>
  </si>
  <si>
    <t>ACTCAL_WEEKPROFILE_ADDRESS</t>
  </si>
  <si>
    <t>A02</t>
  </si>
  <si>
    <t>next available address (35 days)</t>
  </si>
  <si>
    <t>next available address (8 days)</t>
  </si>
  <si>
    <t>Available address (8 days of Loadsurvey)</t>
  </si>
  <si>
    <t>Available address (35 days of Loadsurvey)</t>
  </si>
  <si>
    <t>next available address (buffer for growth)</t>
  </si>
  <si>
    <t>Available address for DLMS</t>
  </si>
  <si>
    <t>ADDRESS_INITMETER</t>
  </si>
  <si>
    <t>deviation (High)</t>
  </si>
  <si>
    <t>deviation )Low)</t>
  </si>
  <si>
    <t>Status</t>
  </si>
  <si>
    <t>execution_billing_date[10]</t>
  </si>
  <si>
    <t>execution_billing_date[11]</t>
  </si>
  <si>
    <t>date/time</t>
  </si>
  <si>
    <t>dlms_num_power_fails</t>
  </si>
  <si>
    <t>dlms_poweron_dur_billing (minutes)</t>
  </si>
  <si>
    <t>dlms_poweron_dur_seconds</t>
  </si>
  <si>
    <t>cumulative</t>
  </si>
  <si>
    <t>dlms_billing_date</t>
  </si>
  <si>
    <t>dlms_cumulative_energy_kvarh_lag</t>
  </si>
  <si>
    <t>dlms_cumulative_energy_kvarh_lead</t>
  </si>
  <si>
    <t>dummy data</t>
  </si>
  <si>
    <t>This is a EEPROM map for SY7T108 DLMS (1 phase)</t>
  </si>
  <si>
    <t>next available address (60 days)</t>
  </si>
  <si>
    <t>Available address (60 days of Loadsurvey)</t>
  </si>
  <si>
    <t>kwh_tz[4]</t>
  </si>
  <si>
    <t>kvah_tz[4]</t>
  </si>
  <si>
    <t>SEASON - 1</t>
  </si>
  <si>
    <t>SEASON - 2</t>
  </si>
  <si>
    <t>SEASON - 3</t>
  </si>
  <si>
    <t>Time Zones = 5</t>
  </si>
  <si>
    <t>Time zones = 5</t>
  </si>
  <si>
    <t>billing-7</t>
  </si>
  <si>
    <t>billing-8</t>
  </si>
  <si>
    <t>billing-9</t>
  </si>
  <si>
    <t>billing-10</t>
  </si>
  <si>
    <t>billing-11</t>
  </si>
  <si>
    <t>billing-12</t>
  </si>
  <si>
    <t>12 billing cycles</t>
  </si>
  <si>
    <t>BILLING_PARAM_CURRENT_ADDRESS</t>
  </si>
  <si>
    <t>Only 2 seasons supported and 5 TODs are supported</t>
  </si>
  <si>
    <t>number of bytes</t>
  </si>
  <si>
    <t>date+time</t>
  </si>
  <si>
    <t>event code</t>
  </si>
  <si>
    <t>Total</t>
  </si>
  <si>
    <t>Measured Current</t>
  </si>
  <si>
    <t>Phase Voltage</t>
  </si>
  <si>
    <t>PF</t>
  </si>
  <si>
    <t>KWh</t>
  </si>
  <si>
    <t>event log storage in EEPROM from @EVENTLOG_BASE_ADDRESS</t>
  </si>
  <si>
    <t>event_ID_status (1,2)</t>
  </si>
  <si>
    <t>event_ID_status (3,4)</t>
  </si>
  <si>
    <t>event_ID_status (5,6)</t>
  </si>
  <si>
    <t>event_ID_status (7,8)</t>
  </si>
  <si>
    <t>event_ID_status (9,10)</t>
  </si>
  <si>
    <t>event_ID_status (11,12)</t>
  </si>
  <si>
    <t>NA (RPhase_missing)</t>
  </si>
  <si>
    <t>NA (YPhase_missing)</t>
  </si>
  <si>
    <t>NA (BPhase_missing)</t>
  </si>
  <si>
    <t>NA (Over Voltage)</t>
  </si>
  <si>
    <t>NA (Voltage Unbalance)</t>
  </si>
  <si>
    <t>(Low Voltage)</t>
  </si>
  <si>
    <t>A04</t>
  </si>
  <si>
    <t>NA (R CT reverse)</t>
  </si>
  <si>
    <t>NA (Y CT reverse)</t>
  </si>
  <si>
    <t>NA (B CT reverse)</t>
  </si>
  <si>
    <t>NA (R CT Open)</t>
  </si>
  <si>
    <t>NA (Y CT Open)</t>
  </si>
  <si>
    <t>NA (B CT Open)</t>
  </si>
  <si>
    <t>NA (Current Unbalance)</t>
  </si>
  <si>
    <t>NA (Over Current)</t>
  </si>
  <si>
    <t>Type of Tamper</t>
  </si>
  <si>
    <t>eventID status(51,52)</t>
  </si>
  <si>
    <t>eventID status(53,54)</t>
  </si>
  <si>
    <t>eventID status(55,56)</t>
  </si>
  <si>
    <t>eventID status(57,58)</t>
  </si>
  <si>
    <t>eventID status(59,60)</t>
  </si>
  <si>
    <t>eventID status(61,62)</t>
  </si>
  <si>
    <t>eventID status(63,64)</t>
  </si>
  <si>
    <t>eventID status(65,66)</t>
  </si>
  <si>
    <t>eventID status(67,68)</t>
  </si>
  <si>
    <t>event 70 (date_time)</t>
  </si>
  <si>
    <t>..(cont'd)</t>
  </si>
  <si>
    <t>event 1 (date_time + 18)</t>
  </si>
  <si>
    <t>event 2 (date_time + 18)</t>
  </si>
  <si>
    <t>event 3 (date_time + 18)</t>
  </si>
  <si>
    <t>LS_ir</t>
  </si>
  <si>
    <t>obj index</t>
  </si>
  <si>
    <t>1FB00</t>
  </si>
  <si>
    <t>Daile Load survey 35 days</t>
  </si>
  <si>
    <t>Daile Load survey 60 days</t>
  </si>
  <si>
    <t>address if DLS = 35 days</t>
  </si>
  <si>
    <t>address if DLS = 60 days</t>
  </si>
  <si>
    <t xml:space="preserve">12 Billing History, </t>
  </si>
  <si>
    <t>2 seasons</t>
  </si>
  <si>
    <t>5 Time Zones</t>
  </si>
  <si>
    <t>60 days Load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</si>
</sst>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horizontal="left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11" fontId="0" fillId="0" borderId="0" xfId="0" applyNumberFormat="1"/>
    <xf numFmtId="0" fontId="0" fillId="4" borderId="0" xfId="0" applyFill="1"/>
    <xf numFmtId="0" fontId="2" fillId="5" borderId="1" xfId="0" applyFont="1" applyFill="1" applyBorder="1" applyAlignment="1">
      <alignment wrapText="1"/>
    </xf>
    <xf numFmtId="0" fontId="0" fillId="5" borderId="1" xfId="0" applyFill="1" applyBorder="1"/>
    <xf numFmtId="0" fontId="2" fillId="2" borderId="1" xfId="0" applyFont="1" applyFill="1" applyBorder="1" applyAlignment="1">
      <alignment vertical="top" wrapText="1"/>
    </xf>
    <xf numFmtId="11" fontId="0" fillId="2" borderId="1" xfId="0" applyNumberFormat="1" applyFill="1" applyBorder="1"/>
    <xf numFmtId="0" fontId="4" fillId="2" borderId="1" xfId="0" applyFont="1" applyFill="1" applyBorder="1"/>
    <xf numFmtId="11" fontId="4" fillId="2" borderId="1" xfId="0" applyNumberFormat="1" applyFont="1" applyFill="1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5" xfId="0" applyBorder="1"/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/>
    <xf numFmtId="0" fontId="0" fillId="0" borderId="1" xfId="0" applyBorder="1" applyAlignment="1">
      <alignment horizontal="left"/>
    </xf>
    <xf numFmtId="0" fontId="2" fillId="0" borderId="0" xfId="0" applyFont="1"/>
    <xf numFmtId="0" fontId="1" fillId="0" borderId="0" xfId="0" applyFont="1"/>
    <xf numFmtId="0" fontId="0" fillId="6" borderId="1" xfId="0" applyFill="1" applyBorder="1"/>
    <xf numFmtId="0" fontId="0" fillId="6" borderId="1" xfId="0" applyFill="1" applyBorder="1" applyAlignment="1">
      <alignment vertical="top" wrapText="1"/>
    </xf>
    <xf numFmtId="0" fontId="0" fillId="2" borderId="6" xfId="0" applyFill="1" applyBorder="1"/>
    <xf numFmtId="11" fontId="0" fillId="2" borderId="6" xfId="0" applyNumberFormat="1" applyFill="1" applyBorder="1"/>
    <xf numFmtId="11" fontId="0" fillId="0" borderId="1" xfId="0" applyNumberFormat="1" applyBorder="1"/>
    <xf numFmtId="0" fontId="4" fillId="2" borderId="6" xfId="0" applyFont="1" applyFill="1" applyBorder="1"/>
    <xf numFmtId="11" fontId="4" fillId="2" borderId="6" xfId="0" applyNumberFormat="1" applyFont="1" applyFill="1" applyBorder="1"/>
    <xf numFmtId="0" fontId="10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4" xfId="0" applyFont="1" applyBorder="1"/>
    <xf numFmtId="0" fontId="2" fillId="0" borderId="0" xfId="0" applyFont="1" applyAlignment="1">
      <alignment vertical="top" wrapText="1"/>
    </xf>
    <xf numFmtId="0" fontId="0" fillId="0" borderId="6" xfId="0" applyBorder="1"/>
    <xf numFmtId="0" fontId="5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9" fillId="0" borderId="0" xfId="0" applyFont="1"/>
    <xf numFmtId="49" fontId="0" fillId="0" borderId="0" xfId="0" applyNumberFormat="1" applyAlignment="1">
      <alignment horizontal="left"/>
    </xf>
    <xf numFmtId="0" fontId="0" fillId="2" borderId="0" xfId="0" applyFill="1"/>
    <xf numFmtId="0" fontId="0" fillId="7" borderId="1" xfId="0" applyFill="1" applyBorder="1"/>
    <xf numFmtId="0" fontId="0" fillId="7" borderId="1" xfId="0" applyFill="1" applyBorder="1" applyAlignment="1">
      <alignment vertical="top" wrapText="1"/>
    </xf>
    <xf numFmtId="0" fontId="0" fillId="5" borderId="0" xfId="0" applyFill="1"/>
    <xf numFmtId="0" fontId="6" fillId="3" borderId="5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vertical="top" wrapText="1"/>
    </xf>
    <xf numFmtId="0" fontId="12" fillId="4" borderId="1" xfId="0" applyFont="1" applyFill="1" applyBorder="1"/>
    <xf numFmtId="0" fontId="12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5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3" xfId="0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8" fillId="0" borderId="0" xfId="0" applyFont="1" applyAlignment="1">
      <alignment vertical="top" wrapText="1"/>
    </xf>
    <xf numFmtId="0" fontId="10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57</xdr:row>
      <xdr:rowOff>38100</xdr:rowOff>
    </xdr:from>
    <xdr:to>
      <xdr:col>8</xdr:col>
      <xdr:colOff>209550</xdr:colOff>
      <xdr:row>74</xdr:row>
      <xdr:rowOff>21167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156325" y="12896850"/>
          <a:ext cx="1419225" cy="3221567"/>
        </a:xfrm>
        <a:prstGeom prst="rightBrace">
          <a:avLst>
            <a:gd name="adj1" fmla="val 8333"/>
            <a:gd name="adj2" fmla="val 495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18</xdr:col>
      <xdr:colOff>135467</xdr:colOff>
      <xdr:row>56</xdr:row>
      <xdr:rowOff>750571</xdr:rowOff>
    </xdr:from>
    <xdr:to>
      <xdr:col>20</xdr:col>
      <xdr:colOff>228601</xdr:colOff>
      <xdr:row>73</xdr:row>
      <xdr:rowOff>183727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3809134" y="13069571"/>
          <a:ext cx="1312334" cy="3310889"/>
        </a:xfrm>
        <a:prstGeom prst="rightBrace">
          <a:avLst>
            <a:gd name="adj1" fmla="val 8333"/>
            <a:gd name="adj2" fmla="val 4782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333374</xdr:colOff>
      <xdr:row>12</xdr:row>
      <xdr:rowOff>178594</xdr:rowOff>
    </xdr:from>
    <xdr:to>
      <xdr:col>18</xdr:col>
      <xdr:colOff>23812</xdr:colOff>
      <xdr:row>27</xdr:row>
      <xdr:rowOff>178594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B99CD159-9297-13C3-0836-AC84E53FFAD8}"/>
            </a:ext>
          </a:extLst>
        </xdr:cNvPr>
        <xdr:cNvSpPr/>
      </xdr:nvSpPr>
      <xdr:spPr>
        <a:xfrm>
          <a:off x="15882937" y="3559969"/>
          <a:ext cx="904875" cy="2857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345280</xdr:colOff>
      <xdr:row>35</xdr:row>
      <xdr:rowOff>0</xdr:rowOff>
    </xdr:from>
    <xdr:to>
      <xdr:col>18</xdr:col>
      <xdr:colOff>35718</xdr:colOff>
      <xdr:row>50</xdr:row>
      <xdr:rowOff>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FF75810A-972F-496C-BE97-06930CBB99D6}"/>
            </a:ext>
          </a:extLst>
        </xdr:cNvPr>
        <xdr:cNvSpPr/>
      </xdr:nvSpPr>
      <xdr:spPr>
        <a:xfrm>
          <a:off x="15894843" y="7762875"/>
          <a:ext cx="1012031" cy="28575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</xdr:colOff>
      <xdr:row>13</xdr:row>
      <xdr:rowOff>125730</xdr:rowOff>
    </xdr:from>
    <xdr:to>
      <xdr:col>7</xdr:col>
      <xdr:colOff>636269</xdr:colOff>
      <xdr:row>25</xdr:row>
      <xdr:rowOff>168088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7161455" y="4171054"/>
          <a:ext cx="590549" cy="251885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13</xdr:col>
      <xdr:colOff>358589</xdr:colOff>
      <xdr:row>14</xdr:row>
      <xdr:rowOff>22412</xdr:rowOff>
    </xdr:from>
    <xdr:to>
      <xdr:col>15</xdr:col>
      <xdr:colOff>160384</xdr:colOff>
      <xdr:row>18</xdr:row>
      <xdr:rowOff>11205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AAA12ED1-1326-4653-A586-B87B111784BC}"/>
            </a:ext>
          </a:extLst>
        </xdr:cNvPr>
        <xdr:cNvSpPr/>
      </xdr:nvSpPr>
      <xdr:spPr>
        <a:xfrm>
          <a:off x="13099677" y="4258236"/>
          <a:ext cx="1012031" cy="75079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392207</xdr:colOff>
      <xdr:row>8</xdr:row>
      <xdr:rowOff>11206</xdr:rowOff>
    </xdr:from>
    <xdr:to>
      <xdr:col>15</xdr:col>
      <xdr:colOff>194002</xdr:colOff>
      <xdr:row>11</xdr:row>
      <xdr:rowOff>112057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B12507B5-8230-4B5A-9F3D-ACFDF4C78921}"/>
            </a:ext>
          </a:extLst>
        </xdr:cNvPr>
        <xdr:cNvSpPr/>
      </xdr:nvSpPr>
      <xdr:spPr>
        <a:xfrm>
          <a:off x="13133295" y="2454088"/>
          <a:ext cx="1012031" cy="75079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10</xdr:row>
      <xdr:rowOff>38101</xdr:rowOff>
    </xdr:from>
    <xdr:to>
      <xdr:col>8</xdr:col>
      <xdr:colOff>209550</xdr:colOff>
      <xdr:row>21</xdr:row>
      <xdr:rowOff>9525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4162425" y="10287001"/>
          <a:ext cx="1057275" cy="2066924"/>
        </a:xfrm>
        <a:prstGeom prst="rightBrace">
          <a:avLst>
            <a:gd name="adj1" fmla="val 8333"/>
            <a:gd name="adj2" fmla="val 495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18</xdr:col>
      <xdr:colOff>133350</xdr:colOff>
      <xdr:row>9</xdr:row>
      <xdr:rowOff>742951</xdr:rowOff>
    </xdr:from>
    <xdr:to>
      <xdr:col>20</xdr:col>
      <xdr:colOff>228600</xdr:colOff>
      <xdr:row>23</xdr:row>
      <xdr:rowOff>742950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1239500" y="10229851"/>
          <a:ext cx="1314450" cy="3238499"/>
        </a:xfrm>
        <a:prstGeom prst="rightBrace">
          <a:avLst>
            <a:gd name="adj1" fmla="val 8333"/>
            <a:gd name="adj2" fmla="val 4782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tabSelected="1" workbookViewId="0">
      <selection activeCell="E5" sqref="E5"/>
    </sheetView>
  </sheetViews>
  <sheetFormatPr defaultRowHeight="15" x14ac:dyDescent="0.25"/>
  <cols>
    <col min="2" max="2" width="55.7109375" bestFit="1" customWidth="1"/>
    <col min="3" max="3" width="24.7109375" customWidth="1"/>
  </cols>
  <sheetData>
    <row r="2" spans="1:3" x14ac:dyDescent="0.25">
      <c r="A2">
        <v>1</v>
      </c>
      <c r="B2" t="s">
        <v>276</v>
      </c>
      <c r="C2" t="s">
        <v>347</v>
      </c>
    </row>
    <row r="3" spans="1:3" x14ac:dyDescent="0.25">
      <c r="C3" t="s">
        <v>348</v>
      </c>
    </row>
    <row r="4" spans="1:3" x14ac:dyDescent="0.25">
      <c r="C4" t="s">
        <v>349</v>
      </c>
    </row>
    <row r="5" spans="1:3" x14ac:dyDescent="0.25">
      <c r="C5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20"/>
  <sheetViews>
    <sheetView zoomScale="85" zoomScaleNormal="85" workbookViewId="0">
      <pane ySplit="6" topLeftCell="A28" activePane="bottomLeft" state="frozen"/>
      <selection pane="bottomLeft" activeCell="K51" sqref="K51"/>
    </sheetView>
  </sheetViews>
  <sheetFormatPr defaultRowHeight="15" x14ac:dyDescent="0.25"/>
  <cols>
    <col min="2" max="2" width="25.28515625" customWidth="1"/>
    <col min="3" max="3" width="24" bestFit="1" customWidth="1"/>
    <col min="4" max="4" width="21.5703125" customWidth="1"/>
    <col min="5" max="6" width="24.7109375" customWidth="1"/>
    <col min="7" max="7" width="27.5703125" style="1" customWidth="1"/>
    <col min="8" max="8" width="22.7109375" style="1" customWidth="1"/>
    <col min="9" max="9" width="17" customWidth="1"/>
    <col min="10" max="10" width="24.7109375" customWidth="1"/>
    <col min="11" max="11" width="20.140625" customWidth="1"/>
    <col min="12" max="12" width="24.7109375" customWidth="1"/>
    <col min="13" max="13" width="10" customWidth="1"/>
    <col min="14" max="14" width="15.140625" customWidth="1"/>
    <col min="15" max="15" width="16.85546875" customWidth="1"/>
    <col min="18" max="18" width="20.5703125" customWidth="1"/>
  </cols>
  <sheetData>
    <row r="1" spans="2:12" x14ac:dyDescent="0.25">
      <c r="G1"/>
      <c r="H1"/>
    </row>
    <row r="2" spans="2:12" x14ac:dyDescent="0.25">
      <c r="E2" s="5"/>
      <c r="F2" s="5"/>
      <c r="G2"/>
    </row>
    <row r="3" spans="2:12" ht="69" customHeight="1" x14ac:dyDescent="0.25">
      <c r="C3" s="61" t="s">
        <v>169</v>
      </c>
      <c r="D3" s="61"/>
      <c r="E3" s="61"/>
      <c r="F3" s="61"/>
      <c r="G3" s="61"/>
      <c r="H3" s="61"/>
      <c r="I3" s="61"/>
    </row>
    <row r="4" spans="2:12" ht="23.25" x14ac:dyDescent="0.25">
      <c r="C4" s="48"/>
      <c r="G4" t="s">
        <v>260</v>
      </c>
      <c r="H4" s="1" t="s">
        <v>254</v>
      </c>
    </row>
    <row r="5" spans="2:12" ht="23.25" x14ac:dyDescent="0.25">
      <c r="B5" s="32" t="s">
        <v>208</v>
      </c>
      <c r="C5" s="30" t="s">
        <v>163</v>
      </c>
      <c r="D5" s="30">
        <v>30</v>
      </c>
      <c r="E5" s="47"/>
      <c r="F5" s="47"/>
      <c r="G5" t="s">
        <v>261</v>
      </c>
      <c r="H5" t="str">
        <f>H4</f>
        <v>A02</v>
      </c>
      <c r="I5" s="47"/>
    </row>
    <row r="6" spans="2:12" ht="31.5" x14ac:dyDescent="0.25">
      <c r="C6" s="29" t="s">
        <v>200</v>
      </c>
      <c r="D6" s="29" t="s">
        <v>201</v>
      </c>
      <c r="E6" s="29" t="s">
        <v>202</v>
      </c>
      <c r="F6" s="29" t="s">
        <v>204</v>
      </c>
      <c r="G6" s="29" t="s">
        <v>325</v>
      </c>
      <c r="H6" s="29" t="s">
        <v>141</v>
      </c>
      <c r="I6" s="29" t="s">
        <v>203</v>
      </c>
      <c r="J6" s="55" t="s">
        <v>205</v>
      </c>
      <c r="K6" s="62" t="s">
        <v>303</v>
      </c>
      <c r="L6" s="62"/>
    </row>
    <row r="7" spans="2:12" x14ac:dyDescent="0.25">
      <c r="B7" t="s">
        <v>207</v>
      </c>
      <c r="C7" s="57" t="s">
        <v>304</v>
      </c>
      <c r="D7" s="57" t="s">
        <v>316</v>
      </c>
      <c r="E7" s="57">
        <f t="shared" ref="E7:E21" si="0">HEX2DEC(D7)</f>
        <v>2564</v>
      </c>
      <c r="F7" s="57">
        <v>0</v>
      </c>
      <c r="G7" s="58" t="s">
        <v>17</v>
      </c>
      <c r="H7" s="58" t="s">
        <v>310</v>
      </c>
      <c r="I7" s="57"/>
      <c r="J7" s="58" t="s">
        <v>29</v>
      </c>
      <c r="K7" s="2" t="s">
        <v>58</v>
      </c>
      <c r="L7" s="2" t="s">
        <v>295</v>
      </c>
    </row>
    <row r="8" spans="2:12" x14ac:dyDescent="0.25">
      <c r="C8" s="57" t="s">
        <v>305</v>
      </c>
      <c r="D8" s="59" t="str">
        <f t="shared" ref="D8:D22" si="1">DEC2HEX(SUM(HEX2DEC(D7))+F7)</f>
        <v>A04</v>
      </c>
      <c r="E8" s="57">
        <f t="shared" si="0"/>
        <v>2564</v>
      </c>
      <c r="F8" s="57">
        <v>0</v>
      </c>
      <c r="G8" s="58"/>
      <c r="H8" s="58" t="s">
        <v>311</v>
      </c>
      <c r="I8" s="57"/>
      <c r="J8" s="58" t="s">
        <v>29</v>
      </c>
      <c r="K8" s="3" t="s">
        <v>296</v>
      </c>
      <c r="L8" s="3">
        <v>12</v>
      </c>
    </row>
    <row r="9" spans="2:12" x14ac:dyDescent="0.25">
      <c r="C9" s="57" t="s">
        <v>306</v>
      </c>
      <c r="D9" s="59" t="str">
        <f t="shared" si="1"/>
        <v>A04</v>
      </c>
      <c r="E9" s="57">
        <f t="shared" si="0"/>
        <v>2564</v>
      </c>
      <c r="F9" s="57">
        <v>0</v>
      </c>
      <c r="G9" s="58"/>
      <c r="H9" s="58" t="s">
        <v>312</v>
      </c>
      <c r="I9" s="57"/>
      <c r="J9" s="58" t="s">
        <v>29</v>
      </c>
      <c r="K9" s="3" t="s">
        <v>297</v>
      </c>
      <c r="L9" s="3">
        <v>2</v>
      </c>
    </row>
    <row r="10" spans="2:12" x14ac:dyDescent="0.25">
      <c r="C10" s="57" t="s">
        <v>307</v>
      </c>
      <c r="D10" s="59" t="str">
        <f t="shared" si="1"/>
        <v>A04</v>
      </c>
      <c r="E10" s="57">
        <f t="shared" si="0"/>
        <v>2564</v>
      </c>
      <c r="F10" s="57">
        <v>0</v>
      </c>
      <c r="G10" s="58"/>
      <c r="H10" s="58" t="s">
        <v>313</v>
      </c>
      <c r="I10" s="57"/>
      <c r="J10" s="58" t="s">
        <v>29</v>
      </c>
      <c r="K10" s="3" t="s">
        <v>299</v>
      </c>
      <c r="L10" s="3">
        <v>4</v>
      </c>
    </row>
    <row r="11" spans="2:12" x14ac:dyDescent="0.25">
      <c r="C11" s="7" t="s">
        <v>308</v>
      </c>
      <c r="D11" s="8" t="str">
        <f t="shared" si="1"/>
        <v>A04</v>
      </c>
      <c r="E11" s="7">
        <f t="shared" si="0"/>
        <v>2564</v>
      </c>
      <c r="F11" s="7">
        <v>1</v>
      </c>
      <c r="G11" s="6"/>
      <c r="H11" s="6" t="s">
        <v>315</v>
      </c>
      <c r="I11" s="7">
        <v>0</v>
      </c>
      <c r="J11" s="12"/>
      <c r="K11" s="3" t="s">
        <v>300</v>
      </c>
      <c r="L11" s="3">
        <v>4</v>
      </c>
    </row>
    <row r="12" spans="2:12" x14ac:dyDescent="0.25">
      <c r="C12" s="57" t="s">
        <v>309</v>
      </c>
      <c r="D12" s="59" t="str">
        <f t="shared" si="1"/>
        <v>A05</v>
      </c>
      <c r="E12" s="57">
        <f t="shared" si="0"/>
        <v>2565</v>
      </c>
      <c r="F12" s="57">
        <v>0</v>
      </c>
      <c r="G12" s="58"/>
      <c r="H12" s="58" t="s">
        <v>314</v>
      </c>
      <c r="I12" s="57"/>
      <c r="J12" s="58" t="s">
        <v>29</v>
      </c>
      <c r="K12" s="3" t="s">
        <v>301</v>
      </c>
      <c r="L12" s="3">
        <v>4</v>
      </c>
    </row>
    <row r="13" spans="2:12" x14ac:dyDescent="0.25">
      <c r="C13" s="57" t="s">
        <v>326</v>
      </c>
      <c r="D13" s="59" t="str">
        <f t="shared" si="1"/>
        <v>A05</v>
      </c>
      <c r="E13" s="57">
        <f t="shared" si="0"/>
        <v>2565</v>
      </c>
      <c r="F13" s="57">
        <v>0</v>
      </c>
      <c r="G13" s="58" t="s">
        <v>16</v>
      </c>
      <c r="H13" s="58"/>
      <c r="I13" s="57"/>
      <c r="J13" s="58" t="s">
        <v>29</v>
      </c>
      <c r="K13" s="3" t="s">
        <v>302</v>
      </c>
      <c r="L13" s="3">
        <v>4</v>
      </c>
    </row>
    <row r="14" spans="2:12" x14ac:dyDescent="0.25">
      <c r="C14" s="57" t="s">
        <v>327</v>
      </c>
      <c r="D14" s="59" t="str">
        <f t="shared" si="1"/>
        <v>A05</v>
      </c>
      <c r="E14" s="57">
        <f t="shared" si="0"/>
        <v>2565</v>
      </c>
      <c r="F14" s="57">
        <v>0</v>
      </c>
      <c r="G14" s="58"/>
      <c r="H14" s="58" t="s">
        <v>317</v>
      </c>
      <c r="I14" s="57"/>
      <c r="J14" s="58" t="s">
        <v>29</v>
      </c>
      <c r="K14" s="9" t="s">
        <v>298</v>
      </c>
      <c r="L14" s="9">
        <f>SUM(L8:L13)</f>
        <v>30</v>
      </c>
    </row>
    <row r="15" spans="2:12" x14ac:dyDescent="0.25">
      <c r="C15" s="57" t="s">
        <v>328</v>
      </c>
      <c r="D15" s="59" t="str">
        <f t="shared" si="1"/>
        <v>A05</v>
      </c>
      <c r="E15" s="57">
        <f t="shared" si="0"/>
        <v>2565</v>
      </c>
      <c r="F15" s="57">
        <v>0</v>
      </c>
      <c r="G15" s="58"/>
      <c r="H15" s="58" t="s">
        <v>318</v>
      </c>
      <c r="I15" s="57"/>
      <c r="J15" s="58" t="s">
        <v>29</v>
      </c>
    </row>
    <row r="16" spans="2:12" x14ac:dyDescent="0.25">
      <c r="C16" s="57" t="s">
        <v>329</v>
      </c>
      <c r="D16" s="59" t="str">
        <f t="shared" si="1"/>
        <v>A05</v>
      </c>
      <c r="E16" s="57">
        <f t="shared" si="0"/>
        <v>2565</v>
      </c>
      <c r="F16" s="57">
        <v>0</v>
      </c>
      <c r="G16" s="58"/>
      <c r="H16" s="58" t="s">
        <v>319</v>
      </c>
      <c r="I16" s="57"/>
      <c r="J16" s="58" t="s">
        <v>29</v>
      </c>
    </row>
    <row r="17" spans="3:10" x14ac:dyDescent="0.25">
      <c r="C17" s="57" t="s">
        <v>330</v>
      </c>
      <c r="D17" s="59" t="str">
        <f t="shared" si="1"/>
        <v>A05</v>
      </c>
      <c r="E17" s="57">
        <f t="shared" si="0"/>
        <v>2565</v>
      </c>
      <c r="F17" s="57">
        <v>0</v>
      </c>
      <c r="G17" s="58"/>
      <c r="H17" s="58" t="s">
        <v>320</v>
      </c>
      <c r="I17" s="57"/>
      <c r="J17" s="58" t="s">
        <v>29</v>
      </c>
    </row>
    <row r="18" spans="3:10" x14ac:dyDescent="0.25">
      <c r="C18" s="57" t="s">
        <v>331</v>
      </c>
      <c r="D18" s="59" t="str">
        <f t="shared" si="1"/>
        <v>A05</v>
      </c>
      <c r="E18" s="57">
        <f t="shared" si="0"/>
        <v>2565</v>
      </c>
      <c r="F18" s="57">
        <v>0</v>
      </c>
      <c r="G18" s="58"/>
      <c r="H18" s="58" t="s">
        <v>321</v>
      </c>
      <c r="I18" s="57"/>
      <c r="J18" s="58" t="s">
        <v>29</v>
      </c>
    </row>
    <row r="19" spans="3:10" x14ac:dyDescent="0.25">
      <c r="C19" s="57" t="s">
        <v>332</v>
      </c>
      <c r="D19" s="59" t="str">
        <f t="shared" si="1"/>
        <v>A05</v>
      </c>
      <c r="E19" s="57">
        <f t="shared" si="0"/>
        <v>2565</v>
      </c>
      <c r="F19" s="57">
        <v>0</v>
      </c>
      <c r="G19" s="58"/>
      <c r="H19" s="58" t="s">
        <v>322</v>
      </c>
      <c r="I19" s="57"/>
      <c r="J19" s="58" t="s">
        <v>29</v>
      </c>
    </row>
    <row r="20" spans="3:10" x14ac:dyDescent="0.25">
      <c r="C20" s="57" t="s">
        <v>333</v>
      </c>
      <c r="D20" s="59" t="str">
        <f t="shared" si="1"/>
        <v>A05</v>
      </c>
      <c r="E20" s="57">
        <f t="shared" si="0"/>
        <v>2565</v>
      </c>
      <c r="F20" s="57">
        <v>0</v>
      </c>
      <c r="G20" s="58"/>
      <c r="H20" s="58" t="s">
        <v>323</v>
      </c>
      <c r="I20" s="57"/>
      <c r="J20" s="58" t="s">
        <v>29</v>
      </c>
    </row>
    <row r="21" spans="3:10" x14ac:dyDescent="0.25">
      <c r="C21" s="57" t="s">
        <v>334</v>
      </c>
      <c r="D21" s="59" t="str">
        <f t="shared" si="1"/>
        <v>A05</v>
      </c>
      <c r="E21" s="57">
        <f t="shared" si="0"/>
        <v>2565</v>
      </c>
      <c r="F21" s="57">
        <v>0</v>
      </c>
      <c r="G21" s="58"/>
      <c r="H21" s="58" t="s">
        <v>324</v>
      </c>
      <c r="I21" s="57"/>
      <c r="J21" s="58" t="s">
        <v>29</v>
      </c>
    </row>
    <row r="22" spans="3:10" x14ac:dyDescent="0.25">
      <c r="C22" s="7" t="s">
        <v>158</v>
      </c>
      <c r="D22" s="8" t="str">
        <f t="shared" si="1"/>
        <v>A05</v>
      </c>
      <c r="E22" s="7">
        <f t="shared" ref="E22:E34" si="2">HEX2DEC(D22)</f>
        <v>2565</v>
      </c>
      <c r="F22" s="7">
        <v>1</v>
      </c>
      <c r="G22" s="6"/>
      <c r="H22" s="6" t="s">
        <v>159</v>
      </c>
      <c r="I22" s="7">
        <f>SUM(1+I11)</f>
        <v>1</v>
      </c>
      <c r="J22" s="12"/>
    </row>
    <row r="23" spans="3:10" x14ac:dyDescent="0.25">
      <c r="C23" s="7" t="s">
        <v>18</v>
      </c>
      <c r="D23" s="8" t="str">
        <f t="shared" ref="D23:D34" si="3">DEC2HEX(SUM(HEX2DEC(D22))+F22)</f>
        <v>A06</v>
      </c>
      <c r="E23" s="7">
        <f t="shared" si="2"/>
        <v>2566</v>
      </c>
      <c r="F23" s="7">
        <v>1</v>
      </c>
      <c r="G23" s="6" t="s">
        <v>31</v>
      </c>
      <c r="H23" s="6" t="s">
        <v>6</v>
      </c>
      <c r="I23" s="7">
        <f>SUM(1+I22)</f>
        <v>2</v>
      </c>
      <c r="J23" s="12"/>
    </row>
    <row r="24" spans="3:10" x14ac:dyDescent="0.25">
      <c r="C24" s="7" t="s">
        <v>19</v>
      </c>
      <c r="D24" s="8" t="str">
        <f t="shared" si="3"/>
        <v>A07</v>
      </c>
      <c r="E24" s="7">
        <f t="shared" si="2"/>
        <v>2567</v>
      </c>
      <c r="F24" s="7">
        <v>1</v>
      </c>
      <c r="G24" s="6" t="s">
        <v>32</v>
      </c>
      <c r="H24" s="6" t="s">
        <v>7</v>
      </c>
      <c r="I24" s="7">
        <f t="shared" ref="I24:I43" si="4">SUM(1+I23)</f>
        <v>3</v>
      </c>
      <c r="J24" s="12"/>
    </row>
    <row r="25" spans="3:10" x14ac:dyDescent="0.25">
      <c r="C25" s="7" t="s">
        <v>20</v>
      </c>
      <c r="D25" s="8" t="str">
        <f t="shared" si="3"/>
        <v>A08</v>
      </c>
      <c r="E25" s="7">
        <f t="shared" si="2"/>
        <v>2568</v>
      </c>
      <c r="F25" s="7">
        <v>1</v>
      </c>
      <c r="G25" s="6"/>
      <c r="H25" s="6" t="s">
        <v>8</v>
      </c>
      <c r="I25" s="7">
        <f t="shared" si="4"/>
        <v>4</v>
      </c>
      <c r="J25" s="12"/>
    </row>
    <row r="26" spans="3:10" x14ac:dyDescent="0.25">
      <c r="C26" s="7" t="s">
        <v>21</v>
      </c>
      <c r="D26" s="8" t="str">
        <f t="shared" si="3"/>
        <v>A09</v>
      </c>
      <c r="E26" s="7">
        <f t="shared" si="2"/>
        <v>2569</v>
      </c>
      <c r="F26" s="7">
        <v>1</v>
      </c>
      <c r="G26" s="6"/>
      <c r="H26" s="6" t="s">
        <v>9</v>
      </c>
      <c r="I26" s="7">
        <f t="shared" si="4"/>
        <v>5</v>
      </c>
      <c r="J26" s="12"/>
    </row>
    <row r="27" spans="3:10" x14ac:dyDescent="0.25">
      <c r="C27" s="7" t="s">
        <v>22</v>
      </c>
      <c r="D27" s="8" t="str">
        <f t="shared" si="3"/>
        <v>A0A</v>
      </c>
      <c r="E27" s="7">
        <f t="shared" si="2"/>
        <v>2570</v>
      </c>
      <c r="F27" s="7">
        <v>1</v>
      </c>
      <c r="G27" s="6"/>
      <c r="H27" s="6" t="s">
        <v>10</v>
      </c>
      <c r="I27" s="7">
        <f t="shared" si="4"/>
        <v>6</v>
      </c>
      <c r="J27" s="12"/>
    </row>
    <row r="28" spans="3:10" x14ac:dyDescent="0.25">
      <c r="C28" s="7" t="s">
        <v>23</v>
      </c>
      <c r="D28" s="8" t="str">
        <f t="shared" si="3"/>
        <v>A0B</v>
      </c>
      <c r="E28" s="7">
        <f t="shared" si="2"/>
        <v>2571</v>
      </c>
      <c r="F28" s="7">
        <v>1</v>
      </c>
      <c r="G28" s="6"/>
      <c r="H28" s="6" t="s">
        <v>11</v>
      </c>
      <c r="I28" s="7">
        <f t="shared" si="4"/>
        <v>7</v>
      </c>
      <c r="J28" s="12"/>
    </row>
    <row r="29" spans="3:10" x14ac:dyDescent="0.25">
      <c r="C29" s="7" t="s">
        <v>24</v>
      </c>
      <c r="D29" s="8" t="str">
        <f t="shared" si="3"/>
        <v>A0C</v>
      </c>
      <c r="E29" s="7">
        <f t="shared" si="2"/>
        <v>2572</v>
      </c>
      <c r="F29" s="7">
        <v>1</v>
      </c>
      <c r="G29" s="6" t="s">
        <v>33</v>
      </c>
      <c r="H29" s="6" t="s">
        <v>12</v>
      </c>
      <c r="I29" s="7">
        <f t="shared" si="4"/>
        <v>8</v>
      </c>
      <c r="J29" s="12"/>
    </row>
    <row r="30" spans="3:10" x14ac:dyDescent="0.25">
      <c r="C30" s="7" t="s">
        <v>25</v>
      </c>
      <c r="D30" s="8" t="str">
        <f t="shared" si="3"/>
        <v>A0D</v>
      </c>
      <c r="E30" s="7">
        <f t="shared" si="2"/>
        <v>2573</v>
      </c>
      <c r="F30" s="7">
        <v>1</v>
      </c>
      <c r="G30" s="6"/>
      <c r="H30" s="6" t="s">
        <v>13</v>
      </c>
      <c r="I30" s="7">
        <f t="shared" si="4"/>
        <v>9</v>
      </c>
      <c r="J30" s="12"/>
    </row>
    <row r="31" spans="3:10" x14ac:dyDescent="0.25">
      <c r="C31" s="7" t="s">
        <v>26</v>
      </c>
      <c r="D31" s="8" t="str">
        <f t="shared" si="3"/>
        <v>A0E</v>
      </c>
      <c r="E31" s="7">
        <f t="shared" si="2"/>
        <v>2574</v>
      </c>
      <c r="F31" s="7">
        <v>1</v>
      </c>
      <c r="G31" s="6" t="s">
        <v>29</v>
      </c>
      <c r="H31" s="56" t="s">
        <v>14</v>
      </c>
      <c r="I31" s="7">
        <f t="shared" si="4"/>
        <v>10</v>
      </c>
      <c r="J31" s="6" t="s">
        <v>29</v>
      </c>
    </row>
    <row r="32" spans="3:10" x14ac:dyDescent="0.25">
      <c r="C32" s="7" t="s">
        <v>160</v>
      </c>
      <c r="D32" s="8" t="str">
        <f t="shared" si="3"/>
        <v>A0F</v>
      </c>
      <c r="E32" s="7">
        <f t="shared" si="2"/>
        <v>2575</v>
      </c>
      <c r="F32" s="7">
        <v>1</v>
      </c>
      <c r="G32" s="6"/>
      <c r="H32" s="6" t="s">
        <v>161</v>
      </c>
      <c r="I32" s="7">
        <f t="shared" si="4"/>
        <v>11</v>
      </c>
      <c r="J32" s="12"/>
    </row>
    <row r="33" spans="2:10" x14ac:dyDescent="0.25">
      <c r="C33" s="7" t="s">
        <v>27</v>
      </c>
      <c r="D33" s="8" t="str">
        <f t="shared" si="3"/>
        <v>A10</v>
      </c>
      <c r="E33" s="7">
        <f t="shared" si="2"/>
        <v>2576</v>
      </c>
      <c r="F33" s="7">
        <v>1</v>
      </c>
      <c r="G33" s="6" t="s">
        <v>34</v>
      </c>
      <c r="H33" s="6" t="s">
        <v>15</v>
      </c>
      <c r="I33" s="7">
        <f t="shared" si="4"/>
        <v>12</v>
      </c>
      <c r="J33" s="12"/>
    </row>
    <row r="34" spans="2:10" x14ac:dyDescent="0.25">
      <c r="C34" s="7" t="s">
        <v>28</v>
      </c>
      <c r="D34" s="8" t="str">
        <f t="shared" si="3"/>
        <v>A11</v>
      </c>
      <c r="E34" s="7">
        <f t="shared" si="2"/>
        <v>2577</v>
      </c>
      <c r="F34" s="7">
        <v>1</v>
      </c>
      <c r="G34" s="6"/>
      <c r="H34" s="6" t="s">
        <v>30</v>
      </c>
      <c r="I34" s="7">
        <f t="shared" si="4"/>
        <v>13</v>
      </c>
      <c r="J34" s="6" t="s">
        <v>29</v>
      </c>
    </row>
    <row r="35" spans="2:10" x14ac:dyDescent="0.25">
      <c r="C35" s="3"/>
      <c r="D35" s="31"/>
      <c r="E35" s="3"/>
      <c r="F35" s="3"/>
      <c r="G35" s="4"/>
      <c r="H35" s="4"/>
      <c r="I35" s="3"/>
      <c r="J35" s="12"/>
    </row>
    <row r="36" spans="2:10" x14ac:dyDescent="0.25">
      <c r="C36" s="7" t="s">
        <v>5</v>
      </c>
      <c r="D36" s="8" t="str">
        <f>DEC2HEX(SUM(HEX2DEC(D34))+F34)</f>
        <v>A12</v>
      </c>
      <c r="E36" s="7">
        <f t="shared" ref="E36:E44" si="5">HEX2DEC(D36)</f>
        <v>2578</v>
      </c>
      <c r="F36" s="7">
        <v>1</v>
      </c>
      <c r="G36" s="6"/>
      <c r="H36" s="6" t="s">
        <v>41</v>
      </c>
      <c r="I36" s="7">
        <f>SUM(1+I34)</f>
        <v>14</v>
      </c>
      <c r="J36" s="12"/>
    </row>
    <row r="37" spans="2:10" ht="30" x14ac:dyDescent="0.25">
      <c r="B37" s="1" t="s">
        <v>195</v>
      </c>
      <c r="C37" s="7" t="s">
        <v>35</v>
      </c>
      <c r="D37" s="8" t="str">
        <f t="shared" ref="D37:D44" si="6">DEC2HEX(SUM(HEX2DEC(D36))+F36)</f>
        <v>A13</v>
      </c>
      <c r="E37" s="7">
        <f t="shared" si="5"/>
        <v>2579</v>
      </c>
      <c r="F37" s="7">
        <v>2</v>
      </c>
      <c r="G37" s="6"/>
      <c r="H37" s="6" t="s">
        <v>42</v>
      </c>
      <c r="I37" s="7">
        <f t="shared" si="4"/>
        <v>15</v>
      </c>
      <c r="J37" s="12"/>
    </row>
    <row r="38" spans="2:10" x14ac:dyDescent="0.25">
      <c r="C38" s="7" t="s">
        <v>36</v>
      </c>
      <c r="D38" s="8" t="str">
        <f t="shared" si="6"/>
        <v>A15</v>
      </c>
      <c r="E38" s="7">
        <f t="shared" si="5"/>
        <v>2581</v>
      </c>
      <c r="F38" s="7">
        <v>2</v>
      </c>
      <c r="G38" s="6"/>
      <c r="H38" s="6" t="s">
        <v>43</v>
      </c>
      <c r="I38" s="7">
        <f t="shared" si="4"/>
        <v>16</v>
      </c>
      <c r="J38" s="12"/>
    </row>
    <row r="39" spans="2:10" x14ac:dyDescent="0.25">
      <c r="C39" s="7" t="s">
        <v>37</v>
      </c>
      <c r="D39" s="8" t="str">
        <f t="shared" si="6"/>
        <v>A17</v>
      </c>
      <c r="E39" s="7">
        <f t="shared" si="5"/>
        <v>2583</v>
      </c>
      <c r="F39" s="7">
        <v>2</v>
      </c>
      <c r="G39" s="6"/>
      <c r="H39" s="6" t="s">
        <v>44</v>
      </c>
      <c r="I39" s="7">
        <f t="shared" si="4"/>
        <v>17</v>
      </c>
      <c r="J39" s="12"/>
    </row>
    <row r="40" spans="2:10" x14ac:dyDescent="0.25">
      <c r="C40" s="7" t="s">
        <v>38</v>
      </c>
      <c r="D40" s="8" t="str">
        <f t="shared" si="6"/>
        <v>A19</v>
      </c>
      <c r="E40" s="7">
        <f t="shared" si="5"/>
        <v>2585</v>
      </c>
      <c r="F40" s="7">
        <v>2</v>
      </c>
      <c r="G40" s="6"/>
      <c r="H40" s="6" t="s">
        <v>45</v>
      </c>
      <c r="I40" s="7">
        <f t="shared" si="4"/>
        <v>18</v>
      </c>
      <c r="J40" s="12"/>
    </row>
    <row r="41" spans="2:10" x14ac:dyDescent="0.25">
      <c r="C41" s="7" t="s">
        <v>39</v>
      </c>
      <c r="D41" s="8" t="str">
        <f t="shared" si="6"/>
        <v>A1B</v>
      </c>
      <c r="E41" s="7">
        <f t="shared" si="5"/>
        <v>2587</v>
      </c>
      <c r="F41" s="7">
        <v>2</v>
      </c>
      <c r="G41" s="6"/>
      <c r="H41" s="6" t="s">
        <v>46</v>
      </c>
      <c r="I41" s="7">
        <f t="shared" si="4"/>
        <v>19</v>
      </c>
      <c r="J41" s="12"/>
    </row>
    <row r="42" spans="2:10" x14ac:dyDescent="0.25">
      <c r="C42" s="7" t="s">
        <v>40</v>
      </c>
      <c r="D42" s="8" t="str">
        <f t="shared" si="6"/>
        <v>A1D</v>
      </c>
      <c r="E42" s="7">
        <f t="shared" si="5"/>
        <v>2589</v>
      </c>
      <c r="F42" s="7">
        <v>2</v>
      </c>
      <c r="G42" s="6"/>
      <c r="H42" s="6" t="s">
        <v>47</v>
      </c>
      <c r="I42" s="7">
        <f t="shared" si="4"/>
        <v>20</v>
      </c>
      <c r="J42" s="12"/>
    </row>
    <row r="43" spans="2:10" x14ac:dyDescent="0.25">
      <c r="C43" s="7" t="s">
        <v>48</v>
      </c>
      <c r="D43" s="8" t="str">
        <f t="shared" si="6"/>
        <v>A1F</v>
      </c>
      <c r="E43" s="7">
        <f t="shared" si="5"/>
        <v>2591</v>
      </c>
      <c r="F43" s="7">
        <v>2</v>
      </c>
      <c r="G43" s="6" t="s">
        <v>49</v>
      </c>
      <c r="H43" s="6" t="s">
        <v>50</v>
      </c>
      <c r="I43" s="7">
        <f t="shared" si="4"/>
        <v>21</v>
      </c>
      <c r="J43" s="12"/>
    </row>
    <row r="44" spans="2:10" x14ac:dyDescent="0.25">
      <c r="C44" s="7"/>
      <c r="D44" s="8" t="str">
        <f t="shared" si="6"/>
        <v>A21</v>
      </c>
      <c r="E44" s="7">
        <f t="shared" si="5"/>
        <v>2593</v>
      </c>
      <c r="F44" s="7">
        <v>0</v>
      </c>
      <c r="G44" s="6"/>
      <c r="H44" s="6"/>
      <c r="I44" s="7"/>
      <c r="J44" s="12"/>
    </row>
    <row r="45" spans="2:10" x14ac:dyDescent="0.25">
      <c r="C45" s="3"/>
      <c r="D45" s="31"/>
      <c r="E45" s="3"/>
      <c r="F45" s="3"/>
      <c r="G45" s="4"/>
      <c r="H45" s="4"/>
      <c r="I45" s="3"/>
      <c r="J45" s="12"/>
    </row>
    <row r="46" spans="2:10" x14ac:dyDescent="0.25">
      <c r="B46" t="s">
        <v>206</v>
      </c>
      <c r="C46" s="7" t="s">
        <v>162</v>
      </c>
      <c r="D46" s="8" t="str">
        <f>DEC2HEX(SUM(HEX2DEC(D44))+F44)</f>
        <v>A21</v>
      </c>
      <c r="E46" s="7">
        <f t="shared" ref="E46:E77" si="7">HEX2DEC(D46)</f>
        <v>2593</v>
      </c>
      <c r="F46" s="7">
        <v>30</v>
      </c>
      <c r="G46" s="6"/>
      <c r="H46" s="6" t="s">
        <v>164</v>
      </c>
      <c r="I46" s="7">
        <v>0</v>
      </c>
      <c r="J46" s="6" t="s">
        <v>337</v>
      </c>
    </row>
    <row r="47" spans="2:10" x14ac:dyDescent="0.25">
      <c r="C47" s="7" t="s">
        <v>162</v>
      </c>
      <c r="D47" s="8" t="str">
        <f t="shared" ref="D47:D78" si="8">DEC2HEX(SUM(HEX2DEC(D46))+sizeof_event_buffer)</f>
        <v>A3F</v>
      </c>
      <c r="E47" s="7">
        <f t="shared" si="7"/>
        <v>2623</v>
      </c>
      <c r="F47" s="7">
        <v>30</v>
      </c>
      <c r="G47" s="6"/>
      <c r="H47" s="6"/>
      <c r="I47" s="7">
        <f>SUM(1+I46)</f>
        <v>1</v>
      </c>
      <c r="J47" s="6" t="s">
        <v>338</v>
      </c>
    </row>
    <row r="48" spans="2:10" x14ac:dyDescent="0.25">
      <c r="C48" s="7" t="s">
        <v>162</v>
      </c>
      <c r="D48" s="8" t="str">
        <f t="shared" si="8"/>
        <v>A5D</v>
      </c>
      <c r="E48" s="7">
        <f t="shared" si="7"/>
        <v>2653</v>
      </c>
      <c r="F48" s="7">
        <v>30</v>
      </c>
      <c r="G48" s="6"/>
      <c r="H48" s="6"/>
      <c r="I48" s="7">
        <f t="shared" ref="I48:I111" si="9">SUM(1+I47)</f>
        <v>2</v>
      </c>
      <c r="J48" s="6" t="s">
        <v>339</v>
      </c>
    </row>
    <row r="49" spans="3:10" x14ac:dyDescent="0.25">
      <c r="C49" s="7" t="s">
        <v>336</v>
      </c>
      <c r="D49" s="8" t="str">
        <f t="shared" si="8"/>
        <v>A7B</v>
      </c>
      <c r="E49" s="7">
        <f t="shared" si="7"/>
        <v>2683</v>
      </c>
      <c r="F49" s="7">
        <v>30</v>
      </c>
      <c r="G49" s="6"/>
      <c r="H49" s="6"/>
      <c r="I49" s="7">
        <f t="shared" si="9"/>
        <v>3</v>
      </c>
      <c r="J49" s="12"/>
    </row>
    <row r="50" spans="3:10" x14ac:dyDescent="0.25">
      <c r="C50" s="7" t="s">
        <v>336</v>
      </c>
      <c r="D50" s="8" t="str">
        <f t="shared" si="8"/>
        <v>A99</v>
      </c>
      <c r="E50" s="7">
        <f t="shared" si="7"/>
        <v>2713</v>
      </c>
      <c r="F50" s="7">
        <v>30</v>
      </c>
      <c r="G50" s="6"/>
      <c r="H50" s="6"/>
      <c r="I50" s="7">
        <f t="shared" si="9"/>
        <v>4</v>
      </c>
      <c r="J50" s="12"/>
    </row>
    <row r="51" spans="3:10" x14ac:dyDescent="0.25">
      <c r="C51" s="7" t="s">
        <v>336</v>
      </c>
      <c r="D51" s="8" t="str">
        <f t="shared" si="8"/>
        <v>AB7</v>
      </c>
      <c r="E51" s="7">
        <f t="shared" si="7"/>
        <v>2743</v>
      </c>
      <c r="F51" s="7">
        <v>30</v>
      </c>
      <c r="G51" s="6"/>
      <c r="H51" s="6"/>
      <c r="I51" s="7">
        <f t="shared" si="9"/>
        <v>5</v>
      </c>
      <c r="J51" s="12"/>
    </row>
    <row r="52" spans="3:10" x14ac:dyDescent="0.25">
      <c r="C52" s="7" t="s">
        <v>336</v>
      </c>
      <c r="D52" s="8" t="str">
        <f t="shared" si="8"/>
        <v>AD5</v>
      </c>
      <c r="E52" s="7">
        <f t="shared" si="7"/>
        <v>2773</v>
      </c>
      <c r="F52" s="7">
        <v>30</v>
      </c>
      <c r="G52" s="6"/>
      <c r="H52" s="6"/>
      <c r="I52" s="7">
        <f t="shared" si="9"/>
        <v>6</v>
      </c>
      <c r="J52" s="12"/>
    </row>
    <row r="53" spans="3:10" x14ac:dyDescent="0.25">
      <c r="C53" s="7" t="s">
        <v>336</v>
      </c>
      <c r="D53" s="8" t="str">
        <f t="shared" si="8"/>
        <v>AF3</v>
      </c>
      <c r="E53" s="7">
        <f t="shared" si="7"/>
        <v>2803</v>
      </c>
      <c r="F53" s="7">
        <v>30</v>
      </c>
      <c r="G53" s="6"/>
      <c r="H53" s="6"/>
      <c r="I53" s="7">
        <f t="shared" si="9"/>
        <v>7</v>
      </c>
      <c r="J53" s="12"/>
    </row>
    <row r="54" spans="3:10" x14ac:dyDescent="0.25">
      <c r="C54" s="7" t="s">
        <v>336</v>
      </c>
      <c r="D54" s="8" t="str">
        <f t="shared" si="8"/>
        <v>B11</v>
      </c>
      <c r="E54" s="7">
        <f t="shared" si="7"/>
        <v>2833</v>
      </c>
      <c r="F54" s="7">
        <v>30</v>
      </c>
      <c r="G54" s="6"/>
      <c r="H54" s="6"/>
      <c r="I54" s="7">
        <f t="shared" si="9"/>
        <v>8</v>
      </c>
      <c r="J54" s="12"/>
    </row>
    <row r="55" spans="3:10" x14ac:dyDescent="0.25">
      <c r="C55" s="7" t="s">
        <v>336</v>
      </c>
      <c r="D55" s="8" t="str">
        <f t="shared" si="8"/>
        <v>B2F</v>
      </c>
      <c r="E55" s="7">
        <f t="shared" si="7"/>
        <v>2863</v>
      </c>
      <c r="F55" s="7">
        <v>30</v>
      </c>
      <c r="G55" s="6"/>
      <c r="H55" s="6"/>
      <c r="I55" s="7">
        <f t="shared" si="9"/>
        <v>9</v>
      </c>
      <c r="J55" s="12"/>
    </row>
    <row r="56" spans="3:10" x14ac:dyDescent="0.25">
      <c r="C56" s="7" t="s">
        <v>336</v>
      </c>
      <c r="D56" s="8" t="str">
        <f t="shared" si="8"/>
        <v>B4D</v>
      </c>
      <c r="E56" s="7">
        <f t="shared" si="7"/>
        <v>2893</v>
      </c>
      <c r="F56" s="7">
        <v>30</v>
      </c>
      <c r="G56" s="6"/>
      <c r="H56" s="6"/>
      <c r="I56" s="7">
        <f t="shared" si="9"/>
        <v>10</v>
      </c>
      <c r="J56" s="12"/>
    </row>
    <row r="57" spans="3:10" x14ac:dyDescent="0.25">
      <c r="C57" s="7" t="s">
        <v>336</v>
      </c>
      <c r="D57" s="8" t="str">
        <f t="shared" si="8"/>
        <v>B6B</v>
      </c>
      <c r="E57" s="7">
        <f t="shared" si="7"/>
        <v>2923</v>
      </c>
      <c r="F57" s="7">
        <v>30</v>
      </c>
      <c r="G57" s="6"/>
      <c r="H57" s="6"/>
      <c r="I57" s="7">
        <f t="shared" si="9"/>
        <v>11</v>
      </c>
      <c r="J57" s="12"/>
    </row>
    <row r="58" spans="3:10" x14ac:dyDescent="0.25">
      <c r="C58" s="7" t="s">
        <v>336</v>
      </c>
      <c r="D58" s="8" t="str">
        <f t="shared" si="8"/>
        <v>B89</v>
      </c>
      <c r="E58" s="7">
        <f t="shared" si="7"/>
        <v>2953</v>
      </c>
      <c r="F58" s="7">
        <v>30</v>
      </c>
      <c r="G58" s="6"/>
      <c r="H58" s="6"/>
      <c r="I58" s="7">
        <f t="shared" si="9"/>
        <v>12</v>
      </c>
      <c r="J58" s="12"/>
    </row>
    <row r="59" spans="3:10" x14ac:dyDescent="0.25">
      <c r="C59" s="7" t="s">
        <v>336</v>
      </c>
      <c r="D59" s="8" t="str">
        <f t="shared" si="8"/>
        <v>BA7</v>
      </c>
      <c r="E59" s="7">
        <f t="shared" si="7"/>
        <v>2983</v>
      </c>
      <c r="F59" s="7">
        <v>30</v>
      </c>
      <c r="G59" s="6"/>
      <c r="H59" s="6"/>
      <c r="I59" s="7">
        <f t="shared" si="9"/>
        <v>13</v>
      </c>
      <c r="J59" s="12"/>
    </row>
    <row r="60" spans="3:10" x14ac:dyDescent="0.25">
      <c r="C60" s="7" t="s">
        <v>336</v>
      </c>
      <c r="D60" s="8" t="str">
        <f t="shared" si="8"/>
        <v>BC5</v>
      </c>
      <c r="E60" s="7">
        <f t="shared" si="7"/>
        <v>3013</v>
      </c>
      <c r="F60" s="7">
        <v>30</v>
      </c>
      <c r="G60" s="6"/>
      <c r="H60" s="6"/>
      <c r="I60" s="7">
        <f t="shared" si="9"/>
        <v>14</v>
      </c>
      <c r="J60" s="12"/>
    </row>
    <row r="61" spans="3:10" x14ac:dyDescent="0.25">
      <c r="C61" s="7" t="s">
        <v>336</v>
      </c>
      <c r="D61" s="8" t="str">
        <f t="shared" si="8"/>
        <v>BE3</v>
      </c>
      <c r="E61" s="7">
        <f t="shared" si="7"/>
        <v>3043</v>
      </c>
      <c r="F61" s="7">
        <v>30</v>
      </c>
      <c r="G61" s="6"/>
      <c r="H61" s="6"/>
      <c r="I61" s="7">
        <f t="shared" si="9"/>
        <v>15</v>
      </c>
      <c r="J61" s="12"/>
    </row>
    <row r="62" spans="3:10" x14ac:dyDescent="0.25">
      <c r="C62" s="7" t="s">
        <v>336</v>
      </c>
      <c r="D62" s="8" t="str">
        <f t="shared" si="8"/>
        <v>C01</v>
      </c>
      <c r="E62" s="7">
        <f t="shared" si="7"/>
        <v>3073</v>
      </c>
      <c r="F62" s="7">
        <v>30</v>
      </c>
      <c r="G62" s="6"/>
      <c r="H62" s="6"/>
      <c r="I62" s="7">
        <f t="shared" si="9"/>
        <v>16</v>
      </c>
      <c r="J62" s="12"/>
    </row>
    <row r="63" spans="3:10" x14ac:dyDescent="0.25">
      <c r="C63" s="7" t="s">
        <v>336</v>
      </c>
      <c r="D63" s="8" t="str">
        <f t="shared" si="8"/>
        <v>C1F</v>
      </c>
      <c r="E63" s="7">
        <f t="shared" si="7"/>
        <v>3103</v>
      </c>
      <c r="F63" s="7">
        <v>30</v>
      </c>
      <c r="G63" s="6"/>
      <c r="H63" s="6"/>
      <c r="I63" s="7">
        <f t="shared" si="9"/>
        <v>17</v>
      </c>
      <c r="J63" s="12"/>
    </row>
    <row r="64" spans="3:10" x14ac:dyDescent="0.25">
      <c r="C64" s="7" t="s">
        <v>336</v>
      </c>
      <c r="D64" s="8" t="str">
        <f t="shared" si="8"/>
        <v>C3D</v>
      </c>
      <c r="E64" s="7">
        <f t="shared" si="7"/>
        <v>3133</v>
      </c>
      <c r="F64" s="7">
        <v>30</v>
      </c>
      <c r="G64" s="6"/>
      <c r="H64" s="6"/>
      <c r="I64" s="7">
        <f t="shared" si="9"/>
        <v>18</v>
      </c>
      <c r="J64" s="12"/>
    </row>
    <row r="65" spans="3:10" x14ac:dyDescent="0.25">
      <c r="C65" s="7" t="s">
        <v>336</v>
      </c>
      <c r="D65" s="8" t="str">
        <f t="shared" si="8"/>
        <v>C5B</v>
      </c>
      <c r="E65" s="7">
        <f t="shared" si="7"/>
        <v>3163</v>
      </c>
      <c r="F65" s="7">
        <v>30</v>
      </c>
      <c r="G65" s="6"/>
      <c r="H65" s="6"/>
      <c r="I65" s="7">
        <f t="shared" si="9"/>
        <v>19</v>
      </c>
      <c r="J65" s="12"/>
    </row>
    <row r="66" spans="3:10" x14ac:dyDescent="0.25">
      <c r="C66" s="7" t="s">
        <v>336</v>
      </c>
      <c r="D66" s="8" t="str">
        <f t="shared" si="8"/>
        <v>C79</v>
      </c>
      <c r="E66" s="7">
        <f t="shared" si="7"/>
        <v>3193</v>
      </c>
      <c r="F66" s="7">
        <v>30</v>
      </c>
      <c r="G66" s="6"/>
      <c r="H66" s="6"/>
      <c r="I66" s="7">
        <f t="shared" si="9"/>
        <v>20</v>
      </c>
      <c r="J66" s="12"/>
    </row>
    <row r="67" spans="3:10" x14ac:dyDescent="0.25">
      <c r="C67" s="7" t="s">
        <v>336</v>
      </c>
      <c r="D67" s="8" t="str">
        <f t="shared" si="8"/>
        <v>C97</v>
      </c>
      <c r="E67" s="7">
        <f t="shared" si="7"/>
        <v>3223</v>
      </c>
      <c r="F67" s="7">
        <v>30</v>
      </c>
      <c r="G67" s="6"/>
      <c r="H67" s="6"/>
      <c r="I67" s="7">
        <f t="shared" si="9"/>
        <v>21</v>
      </c>
      <c r="J67" s="12"/>
    </row>
    <row r="68" spans="3:10" x14ac:dyDescent="0.25">
      <c r="C68" s="7" t="s">
        <v>336</v>
      </c>
      <c r="D68" s="8" t="str">
        <f t="shared" si="8"/>
        <v>CB5</v>
      </c>
      <c r="E68" s="7">
        <f t="shared" si="7"/>
        <v>3253</v>
      </c>
      <c r="F68" s="7">
        <v>30</v>
      </c>
      <c r="G68" s="6"/>
      <c r="H68" s="6"/>
      <c r="I68" s="7">
        <f t="shared" si="9"/>
        <v>22</v>
      </c>
      <c r="J68" s="12"/>
    </row>
    <row r="69" spans="3:10" x14ac:dyDescent="0.25">
      <c r="C69" s="7" t="s">
        <v>336</v>
      </c>
      <c r="D69" s="8" t="str">
        <f t="shared" si="8"/>
        <v>CD3</v>
      </c>
      <c r="E69" s="7">
        <f t="shared" si="7"/>
        <v>3283</v>
      </c>
      <c r="F69" s="7">
        <v>30</v>
      </c>
      <c r="G69" s="6"/>
      <c r="H69" s="6"/>
      <c r="I69" s="7">
        <f t="shared" si="9"/>
        <v>23</v>
      </c>
      <c r="J69" s="12"/>
    </row>
    <row r="70" spans="3:10" x14ac:dyDescent="0.25">
      <c r="C70" s="7" t="s">
        <v>336</v>
      </c>
      <c r="D70" s="8" t="str">
        <f t="shared" si="8"/>
        <v>CF1</v>
      </c>
      <c r="E70" s="7">
        <f t="shared" si="7"/>
        <v>3313</v>
      </c>
      <c r="F70" s="7">
        <v>30</v>
      </c>
      <c r="G70" s="6"/>
      <c r="H70" s="6"/>
      <c r="I70" s="7">
        <f t="shared" si="9"/>
        <v>24</v>
      </c>
      <c r="J70" s="12"/>
    </row>
    <row r="71" spans="3:10" x14ac:dyDescent="0.25">
      <c r="C71" s="7" t="s">
        <v>336</v>
      </c>
      <c r="D71" s="8" t="str">
        <f t="shared" si="8"/>
        <v>D0F</v>
      </c>
      <c r="E71" s="7">
        <f t="shared" si="7"/>
        <v>3343</v>
      </c>
      <c r="F71" s="7">
        <v>30</v>
      </c>
      <c r="G71" s="6"/>
      <c r="H71" s="6"/>
      <c r="I71" s="7">
        <f t="shared" si="9"/>
        <v>25</v>
      </c>
      <c r="J71" s="12"/>
    </row>
    <row r="72" spans="3:10" x14ac:dyDescent="0.25">
      <c r="C72" s="7" t="s">
        <v>336</v>
      </c>
      <c r="D72" s="8" t="str">
        <f t="shared" si="8"/>
        <v>D2D</v>
      </c>
      <c r="E72" s="7">
        <f t="shared" si="7"/>
        <v>3373</v>
      </c>
      <c r="F72" s="7">
        <v>30</v>
      </c>
      <c r="G72" s="6"/>
      <c r="H72" s="6"/>
      <c r="I72" s="7">
        <f t="shared" si="9"/>
        <v>26</v>
      </c>
      <c r="J72" s="12"/>
    </row>
    <row r="73" spans="3:10" x14ac:dyDescent="0.25">
      <c r="C73" s="7" t="s">
        <v>336</v>
      </c>
      <c r="D73" s="8" t="str">
        <f t="shared" si="8"/>
        <v>D4B</v>
      </c>
      <c r="E73" s="7">
        <f t="shared" si="7"/>
        <v>3403</v>
      </c>
      <c r="F73" s="7">
        <v>30</v>
      </c>
      <c r="G73" s="6"/>
      <c r="H73" s="6"/>
      <c r="I73" s="7">
        <f t="shared" si="9"/>
        <v>27</v>
      </c>
      <c r="J73" s="12"/>
    </row>
    <row r="74" spans="3:10" x14ac:dyDescent="0.25">
      <c r="C74" s="7" t="s">
        <v>336</v>
      </c>
      <c r="D74" s="8" t="str">
        <f t="shared" si="8"/>
        <v>D69</v>
      </c>
      <c r="E74" s="7">
        <f t="shared" si="7"/>
        <v>3433</v>
      </c>
      <c r="F74" s="7">
        <v>30</v>
      </c>
      <c r="G74" s="6"/>
      <c r="H74" s="6"/>
      <c r="I74" s="7">
        <f t="shared" si="9"/>
        <v>28</v>
      </c>
      <c r="J74" s="12"/>
    </row>
    <row r="75" spans="3:10" x14ac:dyDescent="0.25">
      <c r="C75" s="7" t="s">
        <v>336</v>
      </c>
      <c r="D75" s="8" t="str">
        <f t="shared" si="8"/>
        <v>D87</v>
      </c>
      <c r="E75" s="7">
        <f t="shared" si="7"/>
        <v>3463</v>
      </c>
      <c r="F75" s="7">
        <v>30</v>
      </c>
      <c r="G75" s="6"/>
      <c r="H75" s="6"/>
      <c r="I75" s="7">
        <f t="shared" si="9"/>
        <v>29</v>
      </c>
      <c r="J75" s="12"/>
    </row>
    <row r="76" spans="3:10" x14ac:dyDescent="0.25">
      <c r="C76" s="7" t="s">
        <v>336</v>
      </c>
      <c r="D76" s="8" t="str">
        <f t="shared" si="8"/>
        <v>DA5</v>
      </c>
      <c r="E76" s="7">
        <f t="shared" si="7"/>
        <v>3493</v>
      </c>
      <c r="F76" s="7">
        <v>30</v>
      </c>
      <c r="G76" s="6"/>
      <c r="H76" s="6"/>
      <c r="I76" s="7">
        <f t="shared" si="9"/>
        <v>30</v>
      </c>
      <c r="J76" s="12"/>
    </row>
    <row r="77" spans="3:10" x14ac:dyDescent="0.25">
      <c r="C77" s="7" t="s">
        <v>336</v>
      </c>
      <c r="D77" s="8" t="str">
        <f t="shared" si="8"/>
        <v>DC3</v>
      </c>
      <c r="E77" s="7">
        <f t="shared" si="7"/>
        <v>3523</v>
      </c>
      <c r="F77" s="7">
        <v>30</v>
      </c>
      <c r="G77" s="6"/>
      <c r="H77" s="6"/>
      <c r="I77" s="7">
        <f t="shared" si="9"/>
        <v>31</v>
      </c>
      <c r="J77" s="12"/>
    </row>
    <row r="78" spans="3:10" x14ac:dyDescent="0.25">
      <c r="C78" s="7" t="s">
        <v>336</v>
      </c>
      <c r="D78" s="8" t="str">
        <f t="shared" si="8"/>
        <v>DE1</v>
      </c>
      <c r="E78" s="7">
        <f t="shared" ref="E78:E109" si="10">HEX2DEC(D78)</f>
        <v>3553</v>
      </c>
      <c r="F78" s="7">
        <v>30</v>
      </c>
      <c r="G78" s="6"/>
      <c r="H78" s="6"/>
      <c r="I78" s="7">
        <f t="shared" si="9"/>
        <v>32</v>
      </c>
      <c r="J78" s="12"/>
    </row>
    <row r="79" spans="3:10" x14ac:dyDescent="0.25">
      <c r="C79" s="7" t="s">
        <v>336</v>
      </c>
      <c r="D79" s="8" t="str">
        <f t="shared" ref="D79:D110" si="11">DEC2HEX(SUM(HEX2DEC(D78))+sizeof_event_buffer)</f>
        <v>DFF</v>
      </c>
      <c r="E79" s="7">
        <f t="shared" si="10"/>
        <v>3583</v>
      </c>
      <c r="F79" s="7">
        <v>30</v>
      </c>
      <c r="G79" s="6"/>
      <c r="H79" s="6"/>
      <c r="I79" s="7">
        <f t="shared" si="9"/>
        <v>33</v>
      </c>
      <c r="J79" s="12"/>
    </row>
    <row r="80" spans="3:10" x14ac:dyDescent="0.25">
      <c r="C80" s="7" t="s">
        <v>336</v>
      </c>
      <c r="D80" s="8" t="str">
        <f t="shared" si="11"/>
        <v>E1D</v>
      </c>
      <c r="E80" s="7">
        <f t="shared" si="10"/>
        <v>3613</v>
      </c>
      <c r="F80" s="7">
        <v>30</v>
      </c>
      <c r="G80" s="6"/>
      <c r="H80" s="6"/>
      <c r="I80" s="7">
        <f t="shared" si="9"/>
        <v>34</v>
      </c>
      <c r="J80" s="12"/>
    </row>
    <row r="81" spans="3:10" x14ac:dyDescent="0.25">
      <c r="C81" s="7" t="s">
        <v>336</v>
      </c>
      <c r="D81" s="8" t="str">
        <f t="shared" si="11"/>
        <v>E3B</v>
      </c>
      <c r="E81" s="7">
        <f t="shared" si="10"/>
        <v>3643</v>
      </c>
      <c r="F81" s="7">
        <v>30</v>
      </c>
      <c r="G81" s="6"/>
      <c r="H81" s="6"/>
      <c r="I81" s="7">
        <f t="shared" si="9"/>
        <v>35</v>
      </c>
      <c r="J81" s="12"/>
    </row>
    <row r="82" spans="3:10" x14ac:dyDescent="0.25">
      <c r="C82" s="7" t="s">
        <v>336</v>
      </c>
      <c r="D82" s="8" t="str">
        <f t="shared" si="11"/>
        <v>E59</v>
      </c>
      <c r="E82" s="7">
        <f t="shared" si="10"/>
        <v>3673</v>
      </c>
      <c r="F82" s="7">
        <v>30</v>
      </c>
      <c r="G82" s="6"/>
      <c r="H82" s="6"/>
      <c r="I82" s="7">
        <f t="shared" si="9"/>
        <v>36</v>
      </c>
      <c r="J82" s="12"/>
    </row>
    <row r="83" spans="3:10" x14ac:dyDescent="0.25">
      <c r="C83" s="7" t="s">
        <v>336</v>
      </c>
      <c r="D83" s="8" t="str">
        <f t="shared" si="11"/>
        <v>E77</v>
      </c>
      <c r="E83" s="7">
        <f t="shared" si="10"/>
        <v>3703</v>
      </c>
      <c r="F83" s="7">
        <v>30</v>
      </c>
      <c r="G83" s="6"/>
      <c r="H83" s="6"/>
      <c r="I83" s="7">
        <f t="shared" si="9"/>
        <v>37</v>
      </c>
      <c r="J83" s="12"/>
    </row>
    <row r="84" spans="3:10" x14ac:dyDescent="0.25">
      <c r="C84" s="7" t="s">
        <v>336</v>
      </c>
      <c r="D84" s="8" t="str">
        <f t="shared" si="11"/>
        <v>E95</v>
      </c>
      <c r="E84" s="7">
        <f t="shared" si="10"/>
        <v>3733</v>
      </c>
      <c r="F84" s="7">
        <v>30</v>
      </c>
      <c r="G84" s="6"/>
      <c r="H84" s="6"/>
      <c r="I84" s="7">
        <f t="shared" si="9"/>
        <v>38</v>
      </c>
      <c r="J84" s="12"/>
    </row>
    <row r="85" spans="3:10" x14ac:dyDescent="0.25">
      <c r="C85" s="7" t="s">
        <v>336</v>
      </c>
      <c r="D85" s="8" t="str">
        <f t="shared" si="11"/>
        <v>EB3</v>
      </c>
      <c r="E85" s="7">
        <f t="shared" si="10"/>
        <v>3763</v>
      </c>
      <c r="F85" s="7">
        <v>30</v>
      </c>
      <c r="G85" s="6"/>
      <c r="H85" s="6"/>
      <c r="I85" s="7">
        <f t="shared" si="9"/>
        <v>39</v>
      </c>
      <c r="J85" s="12"/>
    </row>
    <row r="86" spans="3:10" x14ac:dyDescent="0.25">
      <c r="C86" s="7" t="s">
        <v>336</v>
      </c>
      <c r="D86" s="8" t="str">
        <f t="shared" si="11"/>
        <v>ED1</v>
      </c>
      <c r="E86" s="7">
        <f t="shared" si="10"/>
        <v>3793</v>
      </c>
      <c r="F86" s="7">
        <v>30</v>
      </c>
      <c r="G86" s="6"/>
      <c r="H86" s="6"/>
      <c r="I86" s="7">
        <f t="shared" si="9"/>
        <v>40</v>
      </c>
      <c r="J86" s="12"/>
    </row>
    <row r="87" spans="3:10" x14ac:dyDescent="0.25">
      <c r="C87" s="7" t="s">
        <v>336</v>
      </c>
      <c r="D87" s="8" t="str">
        <f t="shared" si="11"/>
        <v>EEF</v>
      </c>
      <c r="E87" s="7">
        <f t="shared" si="10"/>
        <v>3823</v>
      </c>
      <c r="F87" s="7">
        <v>30</v>
      </c>
      <c r="G87" s="6"/>
      <c r="H87" s="6"/>
      <c r="I87" s="7">
        <f t="shared" si="9"/>
        <v>41</v>
      </c>
      <c r="J87" s="12"/>
    </row>
    <row r="88" spans="3:10" x14ac:dyDescent="0.25">
      <c r="C88" s="7" t="s">
        <v>336</v>
      </c>
      <c r="D88" s="8" t="str">
        <f t="shared" si="11"/>
        <v>F0D</v>
      </c>
      <c r="E88" s="7">
        <f t="shared" si="10"/>
        <v>3853</v>
      </c>
      <c r="F88" s="7">
        <v>30</v>
      </c>
      <c r="G88" s="6"/>
      <c r="H88" s="6"/>
      <c r="I88" s="7">
        <f t="shared" si="9"/>
        <v>42</v>
      </c>
      <c r="J88" s="12"/>
    </row>
    <row r="89" spans="3:10" x14ac:dyDescent="0.25">
      <c r="C89" s="7" t="s">
        <v>336</v>
      </c>
      <c r="D89" s="8" t="str">
        <f t="shared" si="11"/>
        <v>F2B</v>
      </c>
      <c r="E89" s="7">
        <f t="shared" si="10"/>
        <v>3883</v>
      </c>
      <c r="F89" s="7">
        <v>30</v>
      </c>
      <c r="G89" s="6"/>
      <c r="H89" s="6"/>
      <c r="I89" s="7">
        <f t="shared" si="9"/>
        <v>43</v>
      </c>
      <c r="J89" s="12"/>
    </row>
    <row r="90" spans="3:10" x14ac:dyDescent="0.25">
      <c r="C90" s="7" t="s">
        <v>336</v>
      </c>
      <c r="D90" s="8" t="str">
        <f t="shared" si="11"/>
        <v>F49</v>
      </c>
      <c r="E90" s="7">
        <f t="shared" si="10"/>
        <v>3913</v>
      </c>
      <c r="F90" s="7">
        <v>30</v>
      </c>
      <c r="G90" s="6"/>
      <c r="H90" s="6"/>
      <c r="I90" s="7">
        <f t="shared" si="9"/>
        <v>44</v>
      </c>
      <c r="J90" s="12"/>
    </row>
    <row r="91" spans="3:10" x14ac:dyDescent="0.25">
      <c r="C91" s="7" t="s">
        <v>336</v>
      </c>
      <c r="D91" s="8" t="str">
        <f t="shared" si="11"/>
        <v>F67</v>
      </c>
      <c r="E91" s="7">
        <f t="shared" si="10"/>
        <v>3943</v>
      </c>
      <c r="F91" s="7">
        <v>30</v>
      </c>
      <c r="G91" s="6"/>
      <c r="H91" s="6"/>
      <c r="I91" s="7">
        <f t="shared" si="9"/>
        <v>45</v>
      </c>
      <c r="J91" s="12"/>
    </row>
    <row r="92" spans="3:10" x14ac:dyDescent="0.25">
      <c r="C92" s="7" t="s">
        <v>336</v>
      </c>
      <c r="D92" s="8" t="str">
        <f t="shared" si="11"/>
        <v>F85</v>
      </c>
      <c r="E92" s="7">
        <f t="shared" si="10"/>
        <v>3973</v>
      </c>
      <c r="F92" s="7">
        <v>30</v>
      </c>
      <c r="G92" s="6"/>
      <c r="H92" s="6"/>
      <c r="I92" s="7">
        <f t="shared" si="9"/>
        <v>46</v>
      </c>
      <c r="J92" s="12"/>
    </row>
    <row r="93" spans="3:10" x14ac:dyDescent="0.25">
      <c r="C93" s="7" t="s">
        <v>336</v>
      </c>
      <c r="D93" s="8" t="str">
        <f t="shared" si="11"/>
        <v>FA3</v>
      </c>
      <c r="E93" s="7">
        <f t="shared" si="10"/>
        <v>4003</v>
      </c>
      <c r="F93" s="7">
        <v>30</v>
      </c>
      <c r="G93" s="6"/>
      <c r="H93" s="6"/>
      <c r="I93" s="7">
        <f t="shared" si="9"/>
        <v>47</v>
      </c>
      <c r="J93" s="12"/>
    </row>
    <row r="94" spans="3:10" x14ac:dyDescent="0.25">
      <c r="C94" s="7" t="s">
        <v>336</v>
      </c>
      <c r="D94" s="8" t="str">
        <f t="shared" si="11"/>
        <v>FC1</v>
      </c>
      <c r="E94" s="7">
        <f t="shared" si="10"/>
        <v>4033</v>
      </c>
      <c r="F94" s="7">
        <v>30</v>
      </c>
      <c r="G94" s="6"/>
      <c r="H94" s="6"/>
      <c r="I94" s="7">
        <f t="shared" si="9"/>
        <v>48</v>
      </c>
      <c r="J94" s="12"/>
    </row>
    <row r="95" spans="3:10" x14ac:dyDescent="0.25">
      <c r="C95" s="7" t="s">
        <v>336</v>
      </c>
      <c r="D95" s="8" t="str">
        <f t="shared" si="11"/>
        <v>FDF</v>
      </c>
      <c r="E95" s="7">
        <f t="shared" si="10"/>
        <v>4063</v>
      </c>
      <c r="F95" s="7">
        <v>30</v>
      </c>
      <c r="G95" s="6"/>
      <c r="H95" s="6"/>
      <c r="I95" s="7">
        <f t="shared" si="9"/>
        <v>49</v>
      </c>
      <c r="J95" s="12"/>
    </row>
    <row r="96" spans="3:10" x14ac:dyDescent="0.25">
      <c r="C96" s="7" t="s">
        <v>336</v>
      </c>
      <c r="D96" s="8" t="str">
        <f t="shared" si="11"/>
        <v>FFD</v>
      </c>
      <c r="E96" s="7">
        <f t="shared" si="10"/>
        <v>4093</v>
      </c>
      <c r="F96" s="7">
        <v>30</v>
      </c>
      <c r="G96" s="6"/>
      <c r="H96" s="6"/>
      <c r="I96" s="7">
        <f t="shared" si="9"/>
        <v>50</v>
      </c>
      <c r="J96" s="12"/>
    </row>
    <row r="97" spans="3:10" x14ac:dyDescent="0.25">
      <c r="C97" s="7" t="s">
        <v>336</v>
      </c>
      <c r="D97" s="8" t="str">
        <f t="shared" si="11"/>
        <v>101B</v>
      </c>
      <c r="E97" s="7">
        <f t="shared" si="10"/>
        <v>4123</v>
      </c>
      <c r="F97" s="7">
        <v>30</v>
      </c>
      <c r="G97" s="6"/>
      <c r="H97" s="6"/>
      <c r="I97" s="7">
        <f t="shared" si="9"/>
        <v>51</v>
      </c>
      <c r="J97" s="12"/>
    </row>
    <row r="98" spans="3:10" x14ac:dyDescent="0.25">
      <c r="C98" s="7" t="s">
        <v>336</v>
      </c>
      <c r="D98" s="8" t="str">
        <f t="shared" si="11"/>
        <v>1039</v>
      </c>
      <c r="E98" s="7">
        <f t="shared" si="10"/>
        <v>4153</v>
      </c>
      <c r="F98" s="7">
        <v>30</v>
      </c>
      <c r="G98" s="6"/>
      <c r="H98" s="6"/>
      <c r="I98" s="7">
        <f t="shared" si="9"/>
        <v>52</v>
      </c>
      <c r="J98" s="12"/>
    </row>
    <row r="99" spans="3:10" x14ac:dyDescent="0.25">
      <c r="C99" s="7" t="s">
        <v>336</v>
      </c>
      <c r="D99" s="8" t="str">
        <f t="shared" si="11"/>
        <v>1057</v>
      </c>
      <c r="E99" s="7">
        <f t="shared" si="10"/>
        <v>4183</v>
      </c>
      <c r="F99" s="7">
        <v>30</v>
      </c>
      <c r="G99" s="6"/>
      <c r="H99" s="6"/>
      <c r="I99" s="7">
        <f t="shared" si="9"/>
        <v>53</v>
      </c>
      <c r="J99" s="12"/>
    </row>
    <row r="100" spans="3:10" x14ac:dyDescent="0.25">
      <c r="C100" s="7" t="s">
        <v>336</v>
      </c>
      <c r="D100" s="8" t="str">
        <f t="shared" si="11"/>
        <v>1075</v>
      </c>
      <c r="E100" s="7">
        <f t="shared" si="10"/>
        <v>4213</v>
      </c>
      <c r="F100" s="7">
        <v>30</v>
      </c>
      <c r="G100" s="6"/>
      <c r="H100" s="6"/>
      <c r="I100" s="7">
        <f t="shared" si="9"/>
        <v>54</v>
      </c>
      <c r="J100" s="12"/>
    </row>
    <row r="101" spans="3:10" x14ac:dyDescent="0.25">
      <c r="C101" s="7" t="s">
        <v>336</v>
      </c>
      <c r="D101" s="8" t="str">
        <f t="shared" si="11"/>
        <v>1093</v>
      </c>
      <c r="E101" s="7">
        <f t="shared" si="10"/>
        <v>4243</v>
      </c>
      <c r="F101" s="7">
        <v>30</v>
      </c>
      <c r="G101" s="6"/>
      <c r="H101" s="6"/>
      <c r="I101" s="7">
        <f t="shared" si="9"/>
        <v>55</v>
      </c>
      <c r="J101" s="12"/>
    </row>
    <row r="102" spans="3:10" x14ac:dyDescent="0.25">
      <c r="C102" s="7" t="s">
        <v>336</v>
      </c>
      <c r="D102" s="8" t="str">
        <f t="shared" si="11"/>
        <v>10B1</v>
      </c>
      <c r="E102" s="7">
        <f t="shared" si="10"/>
        <v>4273</v>
      </c>
      <c r="F102" s="7">
        <v>30</v>
      </c>
      <c r="G102" s="6"/>
      <c r="H102" s="6"/>
      <c r="I102" s="7">
        <f t="shared" si="9"/>
        <v>56</v>
      </c>
      <c r="J102" s="12"/>
    </row>
    <row r="103" spans="3:10" x14ac:dyDescent="0.25">
      <c r="C103" s="7" t="s">
        <v>336</v>
      </c>
      <c r="D103" s="8" t="str">
        <f t="shared" si="11"/>
        <v>10CF</v>
      </c>
      <c r="E103" s="7">
        <f t="shared" si="10"/>
        <v>4303</v>
      </c>
      <c r="F103" s="7">
        <v>30</v>
      </c>
      <c r="G103" s="6"/>
      <c r="H103" s="6"/>
      <c r="I103" s="7">
        <f t="shared" si="9"/>
        <v>57</v>
      </c>
      <c r="J103" s="12"/>
    </row>
    <row r="104" spans="3:10" x14ac:dyDescent="0.25">
      <c r="C104" s="7" t="s">
        <v>336</v>
      </c>
      <c r="D104" s="8" t="str">
        <f t="shared" si="11"/>
        <v>10ED</v>
      </c>
      <c r="E104" s="7">
        <f t="shared" si="10"/>
        <v>4333</v>
      </c>
      <c r="F104" s="7">
        <v>30</v>
      </c>
      <c r="G104" s="6"/>
      <c r="H104" s="6"/>
      <c r="I104" s="7">
        <f t="shared" si="9"/>
        <v>58</v>
      </c>
      <c r="J104" s="12"/>
    </row>
    <row r="105" spans="3:10" x14ac:dyDescent="0.25">
      <c r="C105" s="7" t="s">
        <v>336</v>
      </c>
      <c r="D105" s="8" t="str">
        <f t="shared" si="11"/>
        <v>110B</v>
      </c>
      <c r="E105" s="7">
        <f t="shared" si="10"/>
        <v>4363</v>
      </c>
      <c r="F105" s="7">
        <v>30</v>
      </c>
      <c r="G105" s="6"/>
      <c r="H105" s="6"/>
      <c r="I105" s="7">
        <f t="shared" si="9"/>
        <v>59</v>
      </c>
      <c r="J105" s="12"/>
    </row>
    <row r="106" spans="3:10" x14ac:dyDescent="0.25">
      <c r="C106" s="7" t="s">
        <v>336</v>
      </c>
      <c r="D106" s="8" t="str">
        <f t="shared" si="11"/>
        <v>1129</v>
      </c>
      <c r="E106" s="7">
        <f t="shared" si="10"/>
        <v>4393</v>
      </c>
      <c r="F106" s="7">
        <v>30</v>
      </c>
      <c r="G106" s="6"/>
      <c r="H106" s="6"/>
      <c r="I106" s="7">
        <f t="shared" si="9"/>
        <v>60</v>
      </c>
      <c r="J106" s="12"/>
    </row>
    <row r="107" spans="3:10" x14ac:dyDescent="0.25">
      <c r="C107" s="7" t="s">
        <v>336</v>
      </c>
      <c r="D107" s="8" t="str">
        <f t="shared" si="11"/>
        <v>1147</v>
      </c>
      <c r="E107" s="7">
        <f t="shared" si="10"/>
        <v>4423</v>
      </c>
      <c r="F107" s="7">
        <v>30</v>
      </c>
      <c r="G107" s="6"/>
      <c r="H107" s="6"/>
      <c r="I107" s="7">
        <f t="shared" si="9"/>
        <v>61</v>
      </c>
      <c r="J107" s="12"/>
    </row>
    <row r="108" spans="3:10" x14ac:dyDescent="0.25">
      <c r="C108" s="7" t="s">
        <v>336</v>
      </c>
      <c r="D108" s="8" t="str">
        <f t="shared" si="11"/>
        <v>1165</v>
      </c>
      <c r="E108" s="7">
        <f t="shared" si="10"/>
        <v>4453</v>
      </c>
      <c r="F108" s="7">
        <v>30</v>
      </c>
      <c r="G108" s="6"/>
      <c r="H108" s="6"/>
      <c r="I108" s="7">
        <f t="shared" si="9"/>
        <v>62</v>
      </c>
      <c r="J108" s="12"/>
    </row>
    <row r="109" spans="3:10" x14ac:dyDescent="0.25">
      <c r="C109" s="7" t="s">
        <v>336</v>
      </c>
      <c r="D109" s="8" t="str">
        <f t="shared" si="11"/>
        <v>1183</v>
      </c>
      <c r="E109" s="7">
        <f t="shared" si="10"/>
        <v>4483</v>
      </c>
      <c r="F109" s="7">
        <v>30</v>
      </c>
      <c r="G109" s="6"/>
      <c r="H109" s="6"/>
      <c r="I109" s="7">
        <f t="shared" si="9"/>
        <v>63</v>
      </c>
      <c r="J109" s="12"/>
    </row>
    <row r="110" spans="3:10" x14ac:dyDescent="0.25">
      <c r="C110" s="7" t="s">
        <v>336</v>
      </c>
      <c r="D110" s="8" t="str">
        <f t="shared" si="11"/>
        <v>11A1</v>
      </c>
      <c r="E110" s="7">
        <f t="shared" ref="E110:E116" si="12">HEX2DEC(D110)</f>
        <v>4513</v>
      </c>
      <c r="F110" s="7">
        <v>30</v>
      </c>
      <c r="G110" s="6"/>
      <c r="H110" s="6"/>
      <c r="I110" s="7">
        <f t="shared" si="9"/>
        <v>64</v>
      </c>
      <c r="J110" s="12"/>
    </row>
    <row r="111" spans="3:10" x14ac:dyDescent="0.25">
      <c r="C111" s="7" t="s">
        <v>336</v>
      </c>
      <c r="D111" s="8" t="str">
        <f t="shared" ref="D111:D116" si="13">DEC2HEX(SUM(HEX2DEC(D110))+sizeof_event_buffer)</f>
        <v>11BF</v>
      </c>
      <c r="E111" s="7">
        <f t="shared" si="12"/>
        <v>4543</v>
      </c>
      <c r="F111" s="7">
        <v>30</v>
      </c>
      <c r="G111" s="6"/>
      <c r="H111" s="6"/>
      <c r="I111" s="7">
        <f t="shared" si="9"/>
        <v>65</v>
      </c>
      <c r="J111" s="12"/>
    </row>
    <row r="112" spans="3:10" x14ac:dyDescent="0.25">
      <c r="C112" s="7" t="s">
        <v>336</v>
      </c>
      <c r="D112" s="8" t="str">
        <f t="shared" si="13"/>
        <v>11DD</v>
      </c>
      <c r="E112" s="7">
        <f t="shared" si="12"/>
        <v>4573</v>
      </c>
      <c r="F112" s="7">
        <v>30</v>
      </c>
      <c r="G112" s="6"/>
      <c r="H112" s="6"/>
      <c r="I112" s="7">
        <f t="shared" ref="I112:I116" si="14">SUM(1+I111)</f>
        <v>66</v>
      </c>
      <c r="J112" s="12"/>
    </row>
    <row r="113" spans="3:10" x14ac:dyDescent="0.25">
      <c r="C113" s="7" t="s">
        <v>336</v>
      </c>
      <c r="D113" s="8" t="str">
        <f t="shared" si="13"/>
        <v>11FB</v>
      </c>
      <c r="E113" s="7">
        <f t="shared" si="12"/>
        <v>4603</v>
      </c>
      <c r="F113" s="7">
        <v>30</v>
      </c>
      <c r="G113" s="6"/>
      <c r="H113" s="6"/>
      <c r="I113" s="7">
        <f t="shared" si="14"/>
        <v>67</v>
      </c>
      <c r="J113" s="12"/>
    </row>
    <row r="114" spans="3:10" x14ac:dyDescent="0.25">
      <c r="C114" s="7" t="s">
        <v>336</v>
      </c>
      <c r="D114" s="8" t="str">
        <f t="shared" si="13"/>
        <v>1219</v>
      </c>
      <c r="E114" s="7">
        <f t="shared" si="12"/>
        <v>4633</v>
      </c>
      <c r="F114" s="7">
        <v>30</v>
      </c>
      <c r="G114" s="6"/>
      <c r="H114" s="6"/>
      <c r="I114" s="7">
        <f t="shared" si="14"/>
        <v>68</v>
      </c>
      <c r="J114" s="12"/>
    </row>
    <row r="115" spans="3:10" x14ac:dyDescent="0.25">
      <c r="C115" s="7" t="s">
        <v>336</v>
      </c>
      <c r="D115" s="8" t="str">
        <f t="shared" si="13"/>
        <v>1237</v>
      </c>
      <c r="E115" s="7">
        <f t="shared" si="12"/>
        <v>4663</v>
      </c>
      <c r="F115" s="7">
        <v>30</v>
      </c>
      <c r="G115" s="6"/>
      <c r="H115" s="6"/>
      <c r="I115" s="7">
        <f t="shared" si="14"/>
        <v>69</v>
      </c>
      <c r="J115" s="12"/>
    </row>
    <row r="116" spans="3:10" x14ac:dyDescent="0.25">
      <c r="C116" s="7" t="s">
        <v>336</v>
      </c>
      <c r="D116" s="8" t="str">
        <f t="shared" si="13"/>
        <v>1255</v>
      </c>
      <c r="E116" s="7">
        <f t="shared" si="12"/>
        <v>4693</v>
      </c>
      <c r="F116" s="7">
        <v>30</v>
      </c>
      <c r="G116" s="6" t="s">
        <v>165</v>
      </c>
      <c r="H116" s="6"/>
      <c r="I116" s="7">
        <f t="shared" si="14"/>
        <v>70</v>
      </c>
      <c r="J116" s="6" t="s">
        <v>335</v>
      </c>
    </row>
    <row r="117" spans="3:10" x14ac:dyDescent="0.25">
      <c r="C117" s="7"/>
      <c r="D117" s="8"/>
      <c r="E117" s="7"/>
      <c r="F117" s="7"/>
      <c r="G117" s="6"/>
      <c r="H117" s="6"/>
      <c r="I117" s="7"/>
      <c r="J117" s="12"/>
    </row>
    <row r="118" spans="3:10" x14ac:dyDescent="0.25">
      <c r="E118" s="1"/>
      <c r="F118" s="1"/>
      <c r="H118"/>
    </row>
    <row r="119" spans="3:10" x14ac:dyDescent="0.25">
      <c r="G119"/>
      <c r="H119"/>
    </row>
    <row r="120" spans="3:10" x14ac:dyDescent="0.25">
      <c r="G120"/>
      <c r="H120"/>
    </row>
  </sheetData>
  <mergeCells count="2">
    <mergeCell ref="C3:I3"/>
    <mergeCell ref="K6:L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76"/>
  <sheetViews>
    <sheetView topLeftCell="A32" zoomScale="90" zoomScaleNormal="90" workbookViewId="0">
      <selection activeCell="T57" sqref="T57"/>
    </sheetView>
  </sheetViews>
  <sheetFormatPr defaultRowHeight="15" x14ac:dyDescent="0.25"/>
  <cols>
    <col min="1" max="1" width="29" customWidth="1"/>
    <col min="2" max="2" width="18.85546875" customWidth="1"/>
    <col min="7" max="7" width="16.42578125" bestFit="1" customWidth="1"/>
    <col min="14" max="14" width="9.140625" customWidth="1"/>
    <col min="16" max="16" width="12.5703125" customWidth="1"/>
    <col min="21" max="21" width="14" customWidth="1"/>
  </cols>
  <sheetData>
    <row r="1" spans="1:54" ht="66.75" customHeight="1" x14ac:dyDescent="0.25">
      <c r="A1" s="68" t="s">
        <v>166</v>
      </c>
      <c r="B1" s="68"/>
      <c r="C1" s="68"/>
      <c r="D1" s="68"/>
      <c r="E1" s="68"/>
      <c r="F1" s="68"/>
      <c r="G1" s="68"/>
      <c r="K1" s="1" t="s">
        <v>167</v>
      </c>
      <c r="L1">
        <v>48</v>
      </c>
      <c r="O1" s="1" t="s">
        <v>209</v>
      </c>
      <c r="P1">
        <v>42</v>
      </c>
      <c r="R1" s="1" t="s">
        <v>56</v>
      </c>
      <c r="S1" t="str">
        <f>G75</f>
        <v>1283</v>
      </c>
      <c r="U1" s="1" t="s">
        <v>211</v>
      </c>
      <c r="V1" t="str">
        <f>Event_logs!D116</f>
        <v>1255</v>
      </c>
    </row>
    <row r="2" spans="1:54" ht="75" x14ac:dyDescent="0.25">
      <c r="B2" s="2" t="s">
        <v>51</v>
      </c>
      <c r="C2" s="2" t="s">
        <v>52</v>
      </c>
      <c r="D2" s="2" t="s">
        <v>53</v>
      </c>
      <c r="E2" s="9" t="s">
        <v>54</v>
      </c>
      <c r="F2" s="15" t="s">
        <v>214</v>
      </c>
      <c r="G2" s="10" t="s">
        <v>3</v>
      </c>
      <c r="H2" s="10" t="s">
        <v>4</v>
      </c>
      <c r="I2" s="2" t="s">
        <v>51</v>
      </c>
      <c r="J2" s="2" t="s">
        <v>52</v>
      </c>
      <c r="K2" s="2" t="s">
        <v>53</v>
      </c>
      <c r="L2" s="9" t="s">
        <v>54</v>
      </c>
      <c r="M2" s="15" t="s">
        <v>214</v>
      </c>
      <c r="N2" s="10" t="s">
        <v>3</v>
      </c>
      <c r="O2" s="10" t="s">
        <v>4</v>
      </c>
      <c r="P2" s="2" t="s">
        <v>51</v>
      </c>
      <c r="Q2" s="2" t="s">
        <v>52</v>
      </c>
      <c r="R2" s="2" t="s">
        <v>53</v>
      </c>
      <c r="S2" s="9" t="s">
        <v>54</v>
      </c>
      <c r="T2" s="15" t="s">
        <v>214</v>
      </c>
      <c r="U2" s="10" t="s">
        <v>3</v>
      </c>
      <c r="V2" s="10" t="s">
        <v>4</v>
      </c>
      <c r="X2" s="2" t="s">
        <v>51</v>
      </c>
      <c r="Y2" s="2" t="s">
        <v>52</v>
      </c>
      <c r="Z2" s="2" t="s">
        <v>53</v>
      </c>
      <c r="AA2" s="9" t="s">
        <v>54</v>
      </c>
      <c r="AB2" s="15" t="s">
        <v>214</v>
      </c>
      <c r="AC2" s="10" t="s">
        <v>3</v>
      </c>
      <c r="AD2" s="10" t="s">
        <v>4</v>
      </c>
      <c r="AF2" s="2" t="s">
        <v>51</v>
      </c>
      <c r="AG2" s="2" t="s">
        <v>52</v>
      </c>
      <c r="AH2" s="2" t="s">
        <v>53</v>
      </c>
      <c r="AI2" s="9" t="s">
        <v>54</v>
      </c>
      <c r="AJ2" s="15" t="s">
        <v>214</v>
      </c>
      <c r="AK2" s="10" t="s">
        <v>3</v>
      </c>
      <c r="AL2" s="10" t="s">
        <v>4</v>
      </c>
      <c r="AM2" s="10"/>
      <c r="AN2" s="2" t="s">
        <v>51</v>
      </c>
      <c r="AO2" s="2" t="s">
        <v>52</v>
      </c>
      <c r="AP2" s="2" t="s">
        <v>53</v>
      </c>
      <c r="AQ2" s="9" t="s">
        <v>54</v>
      </c>
      <c r="AR2" s="15" t="s">
        <v>214</v>
      </c>
      <c r="AS2" s="10" t="s">
        <v>3</v>
      </c>
      <c r="AT2" s="10" t="s">
        <v>4</v>
      </c>
      <c r="AU2" s="10"/>
      <c r="AV2" s="2" t="s">
        <v>51</v>
      </c>
      <c r="AW2" s="2" t="s">
        <v>52</v>
      </c>
      <c r="AX2" s="2" t="s">
        <v>53</v>
      </c>
      <c r="AY2" s="9" t="s">
        <v>54</v>
      </c>
      <c r="AZ2" s="15" t="s">
        <v>214</v>
      </c>
      <c r="BA2" s="10" t="s">
        <v>3</v>
      </c>
      <c r="BB2" s="10" t="s">
        <v>4</v>
      </c>
    </row>
    <row r="3" spans="1:54" x14ac:dyDescent="0.25">
      <c r="B3" s="7">
        <v>0</v>
      </c>
      <c r="C3" s="7">
        <v>0</v>
      </c>
      <c r="D3" s="7">
        <v>0</v>
      </c>
      <c r="E3" s="7">
        <f>IF(D3=0,(2*C3),(2*C3+1))</f>
        <v>0</v>
      </c>
      <c r="F3" s="7" t="str">
        <f>DEC2HEX(SUM((B3*slots_per_day_1phase)+E3)*numberofbytes_tostore_1phase)</f>
        <v>0</v>
      </c>
      <c r="G3" s="7" t="str">
        <f t="shared" ref="G3:G50" si="0">DEC2HEX(SUM(HEX2DEC(LOAD_SURVEY_BASE_ADRESS),HEX2DEC(F3)))</f>
        <v>1283</v>
      </c>
      <c r="H3" s="3"/>
      <c r="I3" s="7">
        <v>1</v>
      </c>
      <c r="J3" s="7">
        <v>0</v>
      </c>
      <c r="K3" s="7">
        <v>0</v>
      </c>
      <c r="L3" s="7">
        <f>IF(K3=0,(2*J3),(2*J3+1))</f>
        <v>0</v>
      </c>
      <c r="M3" s="7" t="str">
        <f t="shared" ref="M3:M50" si="1">DEC2HEX(SUM((I3*slots_per_day_1phase)+L3)*numberofbytes_tostore_1phase)</f>
        <v>7E0</v>
      </c>
      <c r="N3" s="7" t="str">
        <f t="shared" ref="N3:N50" si="2">DEC2HEX(SUM(HEX2DEC(LOAD_SURVEY_BASE_ADRESS),HEX2DEC(M3)))</f>
        <v>1A63</v>
      </c>
      <c r="O3" s="3"/>
      <c r="P3" s="7">
        <f>SUM(I3+1)</f>
        <v>2</v>
      </c>
      <c r="Q3" s="7">
        <v>0</v>
      </c>
      <c r="R3" s="7">
        <v>0</v>
      </c>
      <c r="S3" s="7">
        <f>IF(R3=0,(2*Q3),(2*Q3+1))</f>
        <v>0</v>
      </c>
      <c r="T3" s="7" t="str">
        <f t="shared" ref="T3:T50" si="3">DEC2HEX(SUM((P3*slots_per_day_1phase)+S3)*numberofbytes_tostore_1phase)</f>
        <v>FC0</v>
      </c>
      <c r="U3" s="7" t="str">
        <f t="shared" ref="U3:U50" si="4">DEC2HEX(SUM(HEX2DEC(LOAD_SURVEY_BASE_ADRESS),HEX2DEC(T3)))</f>
        <v>2243</v>
      </c>
      <c r="V3" s="3"/>
      <c r="X3" s="7">
        <v>7</v>
      </c>
      <c r="Y3" s="7">
        <v>0</v>
      </c>
      <c r="Z3" s="7">
        <v>0</v>
      </c>
      <c r="AA3" s="7">
        <f>IF(Z3=0,(2*Y3),(2*Y3+1))</f>
        <v>0</v>
      </c>
      <c r="AB3" s="7" t="str">
        <f t="shared" ref="AB3:AB50" si="5">DEC2HEX(SUM((X3*slots_per_day_1phase)+AA3)*numberofbytes_tostore_1phase)</f>
        <v>3720</v>
      </c>
      <c r="AC3" s="7" t="str">
        <f t="shared" ref="AC3:AC51" si="6">DEC2HEX(SUM(HEX2DEC(LOAD_SURVEY_BASE_ADRESS),HEX2DEC(AB3)))</f>
        <v>49A3</v>
      </c>
      <c r="AD3" s="3"/>
      <c r="AF3" s="7">
        <v>21</v>
      </c>
      <c r="AG3" s="7">
        <v>0</v>
      </c>
      <c r="AH3" s="7">
        <v>0</v>
      </c>
      <c r="AI3" s="7">
        <f>IF(AH3=0,(2*AG3),(2*AG3+1))</f>
        <v>0</v>
      </c>
      <c r="AJ3" s="7" t="str">
        <f t="shared" ref="AJ3:AJ50" si="7">DEC2HEX(SUM((AF3*slots_per_day_1phase)+AI3)*numberofbytes_tostore_1phase)</f>
        <v>A560</v>
      </c>
      <c r="AK3" s="7" t="str">
        <f t="shared" ref="AK3:AK50" si="8">DEC2HEX(SUM(HEX2DEC(LOAD_SURVEY_BASE_ADRESS),HEX2DEC(AJ3)))</f>
        <v>B7E3</v>
      </c>
      <c r="AL3" s="3"/>
      <c r="AM3" s="3"/>
      <c r="AN3" s="7">
        <v>34</v>
      </c>
      <c r="AO3" s="7">
        <v>0</v>
      </c>
      <c r="AP3" s="7">
        <v>0</v>
      </c>
      <c r="AQ3" s="7">
        <f>IF(AP3=0,(2*AO3),(2*AO3+1))</f>
        <v>0</v>
      </c>
      <c r="AR3" s="7" t="str">
        <f t="shared" ref="AR3:AR50" si="9">DEC2HEX(SUM((AN3*slots_per_day_1phase)+AQ3)*numberofbytes_tostore_1phase)</f>
        <v>10BC0</v>
      </c>
      <c r="AS3" s="7" t="str">
        <f t="shared" ref="AS3:AS51" si="10">DEC2HEX(SUM(HEX2DEC(LOAD_SURVEY_BASE_ADRESS),HEX2DEC(AR3)))</f>
        <v>11E43</v>
      </c>
      <c r="AT3" s="3"/>
      <c r="AU3" s="3"/>
      <c r="AV3" s="7">
        <v>60</v>
      </c>
      <c r="AW3" s="7">
        <v>0</v>
      </c>
      <c r="AX3" s="7">
        <v>0</v>
      </c>
      <c r="AY3" s="7">
        <f>IF(AX3=0,(2*AW3),(2*AW3+1))</f>
        <v>0</v>
      </c>
      <c r="AZ3" s="7" t="str">
        <f t="shared" ref="AZ3:AZ50" si="11">DEC2HEX(SUM((AV3*slots_per_day_1phase)+AY3)*numberofbytes_tostore_1phase)</f>
        <v>1D880</v>
      </c>
      <c r="BA3" s="7" t="str">
        <f t="shared" ref="BA3:BA51" si="12">DEC2HEX(SUM(HEX2DEC(LOAD_SURVEY_BASE_ADRESS),HEX2DEC(AZ3)))</f>
        <v>1EB03</v>
      </c>
      <c r="BB3" s="3"/>
    </row>
    <row r="4" spans="1:54" x14ac:dyDescent="0.25">
      <c r="B4" s="7">
        <v>0</v>
      </c>
      <c r="C4" s="7">
        <f>C3</f>
        <v>0</v>
      </c>
      <c r="D4" s="7">
        <f>IF(D3=30,0,30)</f>
        <v>30</v>
      </c>
      <c r="E4" s="7">
        <f>IF(D4=0,(2*C4),(2*C4+1))</f>
        <v>1</v>
      </c>
      <c r="F4" s="7" t="str">
        <f t="shared" ref="F4:F50" si="13">DEC2HEX(SUM((B4*slots_per_day_1phase)+E4)*numberofbytes_tostore_1phase)</f>
        <v>2A</v>
      </c>
      <c r="G4" s="7" t="str">
        <f t="shared" si="0"/>
        <v>12AD</v>
      </c>
      <c r="H4" s="3"/>
      <c r="I4" s="7">
        <v>1</v>
      </c>
      <c r="J4" s="7">
        <f>J3</f>
        <v>0</v>
      </c>
      <c r="K4" s="7">
        <f>IF(K3=30,0,30)</f>
        <v>30</v>
      </c>
      <c r="L4" s="7">
        <f>IF(K4=0,(2*J4),(2*J4+1))</f>
        <v>1</v>
      </c>
      <c r="M4" s="7" t="str">
        <f t="shared" si="1"/>
        <v>80A</v>
      </c>
      <c r="N4" s="7" t="str">
        <f t="shared" si="2"/>
        <v>1A8D</v>
      </c>
      <c r="O4" s="3"/>
      <c r="P4" s="7">
        <f t="shared" ref="P4:P50" si="14">SUM(P3+0)</f>
        <v>2</v>
      </c>
      <c r="Q4" s="7">
        <f>Q3</f>
        <v>0</v>
      </c>
      <c r="R4" s="7">
        <f>IF(R3=30,0,30)</f>
        <v>30</v>
      </c>
      <c r="S4" s="7">
        <f>IF(R4=0,(2*Q4),(2*Q4+1))</f>
        <v>1</v>
      </c>
      <c r="T4" s="7" t="str">
        <f t="shared" si="3"/>
        <v>FEA</v>
      </c>
      <c r="U4" s="7" t="str">
        <f t="shared" si="4"/>
        <v>226D</v>
      </c>
      <c r="V4" s="3"/>
      <c r="X4" s="7">
        <f t="shared" ref="X4:X50" si="15">SUM(X3+0)</f>
        <v>7</v>
      </c>
      <c r="Y4" s="7">
        <f>Y3</f>
        <v>0</v>
      </c>
      <c r="Z4" s="7">
        <f>IF(Z3=30,0,30)</f>
        <v>30</v>
      </c>
      <c r="AA4" s="7">
        <f>IF(Z4=0,(2*Y4),(2*Y4+1))</f>
        <v>1</v>
      </c>
      <c r="AB4" s="7" t="str">
        <f t="shared" si="5"/>
        <v>374A</v>
      </c>
      <c r="AC4" s="7" t="str">
        <f t="shared" si="6"/>
        <v>49CD</v>
      </c>
      <c r="AD4" s="3"/>
      <c r="AF4" s="7">
        <f t="shared" ref="AF4:AF50" si="16">SUM(AF3+0)</f>
        <v>21</v>
      </c>
      <c r="AG4" s="7">
        <f>AG3</f>
        <v>0</v>
      </c>
      <c r="AH4" s="7">
        <f>IF(AH3=30,0,30)</f>
        <v>30</v>
      </c>
      <c r="AI4" s="7">
        <f>IF(AH4=0,(2*AG4),(2*AG4+1))</f>
        <v>1</v>
      </c>
      <c r="AJ4" s="7" t="str">
        <f t="shared" si="7"/>
        <v>A58A</v>
      </c>
      <c r="AK4" s="7" t="str">
        <f t="shared" si="8"/>
        <v>B80D</v>
      </c>
      <c r="AL4" s="3"/>
      <c r="AM4" s="3"/>
      <c r="AN4" s="7">
        <f t="shared" ref="AN4:AN50" si="17">SUM(AN3+0)</f>
        <v>34</v>
      </c>
      <c r="AO4" s="7">
        <f>AO3</f>
        <v>0</v>
      </c>
      <c r="AP4" s="7">
        <f>IF(AP3=30,0,30)</f>
        <v>30</v>
      </c>
      <c r="AQ4" s="7">
        <f>IF(AP4=0,(2*AO4),(2*AO4+1))</f>
        <v>1</v>
      </c>
      <c r="AR4" s="7" t="str">
        <f t="shared" si="9"/>
        <v>10BEA</v>
      </c>
      <c r="AS4" s="7" t="str">
        <f t="shared" si="10"/>
        <v>11E6D</v>
      </c>
      <c r="AT4" s="3"/>
      <c r="AU4" s="3"/>
      <c r="AV4" s="7">
        <v>60</v>
      </c>
      <c r="AW4" s="7">
        <f>AW3</f>
        <v>0</v>
      </c>
      <c r="AX4" s="7">
        <f>IF(AX3=30,0,30)</f>
        <v>30</v>
      </c>
      <c r="AY4" s="7">
        <f>IF(AX4=0,(2*AW4),(2*AW4+1))</f>
        <v>1</v>
      </c>
      <c r="AZ4" s="7" t="str">
        <f t="shared" si="11"/>
        <v>1D8AA</v>
      </c>
      <c r="BA4" s="7" t="str">
        <f t="shared" si="12"/>
        <v>1EB2D</v>
      </c>
      <c r="BB4" s="3"/>
    </row>
    <row r="5" spans="1:54" x14ac:dyDescent="0.25">
      <c r="B5" s="7">
        <v>0</v>
      </c>
      <c r="C5" s="7">
        <f>SUM(C4+1)</f>
        <v>1</v>
      </c>
      <c r="D5" s="7">
        <f>IF(D4=30,0,30)</f>
        <v>0</v>
      </c>
      <c r="E5" s="7">
        <f>IF(D5=0,(2*C5),(2*C5+1))</f>
        <v>2</v>
      </c>
      <c r="F5" s="7" t="str">
        <f t="shared" si="13"/>
        <v>54</v>
      </c>
      <c r="G5" s="7" t="str">
        <f t="shared" si="0"/>
        <v>12D7</v>
      </c>
      <c r="H5" s="3"/>
      <c r="I5" s="7">
        <v>1</v>
      </c>
      <c r="J5" s="7">
        <f>SUM(J4+1)</f>
        <v>1</v>
      </c>
      <c r="K5" s="7">
        <f>IF(K4=30,0,30)</f>
        <v>0</v>
      </c>
      <c r="L5" s="7">
        <f>IF(K5=0,(2*J5),(2*J5+1))</f>
        <v>2</v>
      </c>
      <c r="M5" s="7" t="str">
        <f t="shared" si="1"/>
        <v>834</v>
      </c>
      <c r="N5" s="7" t="str">
        <f t="shared" si="2"/>
        <v>1AB7</v>
      </c>
      <c r="O5" s="3"/>
      <c r="P5" s="7">
        <f t="shared" si="14"/>
        <v>2</v>
      </c>
      <c r="Q5" s="7">
        <f>SUM(Q4+1)</f>
        <v>1</v>
      </c>
      <c r="R5" s="7">
        <f>IF(R4=30,0,30)</f>
        <v>0</v>
      </c>
      <c r="S5" s="7">
        <f>IF(R5=0,(2*Q5),(2*Q5+1))</f>
        <v>2</v>
      </c>
      <c r="T5" s="7" t="str">
        <f t="shared" si="3"/>
        <v>1014</v>
      </c>
      <c r="U5" s="7" t="str">
        <f t="shared" si="4"/>
        <v>2297</v>
      </c>
      <c r="V5" s="3"/>
      <c r="X5" s="7">
        <f t="shared" si="15"/>
        <v>7</v>
      </c>
      <c r="Y5" s="7">
        <f>SUM(Y4+1)</f>
        <v>1</v>
      </c>
      <c r="Z5" s="7">
        <f>IF(Z4=30,0,30)</f>
        <v>0</v>
      </c>
      <c r="AA5" s="7">
        <f>IF(Z5=0,(2*Y5),(2*Y5+1))</f>
        <v>2</v>
      </c>
      <c r="AB5" s="7" t="str">
        <f t="shared" si="5"/>
        <v>3774</v>
      </c>
      <c r="AC5" s="7" t="str">
        <f t="shared" si="6"/>
        <v>49F7</v>
      </c>
      <c r="AD5" s="3"/>
      <c r="AF5" s="7">
        <f t="shared" si="16"/>
        <v>21</v>
      </c>
      <c r="AG5" s="7">
        <f>SUM(AG4+1)</f>
        <v>1</v>
      </c>
      <c r="AH5" s="7">
        <f>IF(AH4=30,0,30)</f>
        <v>0</v>
      </c>
      <c r="AI5" s="7">
        <f>IF(AH5=0,(2*AG5),(2*AG5+1))</f>
        <v>2</v>
      </c>
      <c r="AJ5" s="7" t="str">
        <f t="shared" si="7"/>
        <v>A5B4</v>
      </c>
      <c r="AK5" s="7" t="str">
        <f t="shared" si="8"/>
        <v>B837</v>
      </c>
      <c r="AL5" s="3"/>
      <c r="AM5" s="3"/>
      <c r="AN5" s="7">
        <f t="shared" si="17"/>
        <v>34</v>
      </c>
      <c r="AO5" s="7">
        <f>SUM(AO4+1)</f>
        <v>1</v>
      </c>
      <c r="AP5" s="7">
        <f>IF(AP4=30,0,30)</f>
        <v>0</v>
      </c>
      <c r="AQ5" s="7">
        <f>IF(AP5=0,(2*AO5),(2*AO5+1))</f>
        <v>2</v>
      </c>
      <c r="AR5" s="7" t="str">
        <f t="shared" si="9"/>
        <v>10C14</v>
      </c>
      <c r="AS5" s="7" t="str">
        <f t="shared" si="10"/>
        <v>11E97</v>
      </c>
      <c r="AT5" s="3"/>
      <c r="AU5" s="3"/>
      <c r="AV5" s="7">
        <v>60</v>
      </c>
      <c r="AW5" s="7">
        <f>SUM(AW4+1)</f>
        <v>1</v>
      </c>
      <c r="AX5" s="7">
        <f>IF(AX4=30,0,30)</f>
        <v>0</v>
      </c>
      <c r="AY5" s="7">
        <f>IF(AX5=0,(2*AW5),(2*AW5+1))</f>
        <v>2</v>
      </c>
      <c r="AZ5" s="7" t="str">
        <f t="shared" si="11"/>
        <v>1D8D4</v>
      </c>
      <c r="BA5" s="7" t="str">
        <f t="shared" si="12"/>
        <v>1EB57</v>
      </c>
      <c r="BB5" s="3"/>
    </row>
    <row r="6" spans="1:54" x14ac:dyDescent="0.25">
      <c r="B6" s="7">
        <v>0</v>
      </c>
      <c r="C6" s="7">
        <f>C5</f>
        <v>1</v>
      </c>
      <c r="D6" s="7">
        <f>IF(D5=30,0,30)</f>
        <v>30</v>
      </c>
      <c r="E6" s="7">
        <f t="shared" ref="E6:E50" si="18">SUM(E5+1)</f>
        <v>3</v>
      </c>
      <c r="F6" s="7" t="str">
        <f t="shared" si="13"/>
        <v>7E</v>
      </c>
      <c r="G6" s="7" t="str">
        <f t="shared" si="0"/>
        <v>1301</v>
      </c>
      <c r="H6" s="3"/>
      <c r="I6" s="7">
        <v>1</v>
      </c>
      <c r="J6" s="7">
        <f>J5</f>
        <v>1</v>
      </c>
      <c r="K6" s="7">
        <f>IF(K5=30,0,30)</f>
        <v>30</v>
      </c>
      <c r="L6" s="7">
        <f t="shared" ref="L6:L50" si="19">SUM(L5+1)</f>
        <v>3</v>
      </c>
      <c r="M6" s="7" t="str">
        <f t="shared" si="1"/>
        <v>85E</v>
      </c>
      <c r="N6" s="7" t="str">
        <f t="shared" si="2"/>
        <v>1AE1</v>
      </c>
      <c r="O6" s="3"/>
      <c r="P6" s="7">
        <f t="shared" si="14"/>
        <v>2</v>
      </c>
      <c r="Q6" s="7">
        <f>Q5</f>
        <v>1</v>
      </c>
      <c r="R6" s="7">
        <f>IF(R5=30,0,30)</f>
        <v>30</v>
      </c>
      <c r="S6" s="7">
        <f t="shared" ref="S6:S50" si="20">SUM(S5+1)</f>
        <v>3</v>
      </c>
      <c r="T6" s="7" t="str">
        <f t="shared" si="3"/>
        <v>103E</v>
      </c>
      <c r="U6" s="7" t="str">
        <f t="shared" si="4"/>
        <v>22C1</v>
      </c>
      <c r="V6" s="3"/>
      <c r="X6" s="7">
        <f t="shared" si="15"/>
        <v>7</v>
      </c>
      <c r="Y6" s="7">
        <f>Y5</f>
        <v>1</v>
      </c>
      <c r="Z6" s="7">
        <f>IF(Z5=30,0,30)</f>
        <v>30</v>
      </c>
      <c r="AA6" s="7">
        <f t="shared" ref="AA6:AA50" si="21">SUM(AA5+1)</f>
        <v>3</v>
      </c>
      <c r="AB6" s="7" t="str">
        <f t="shared" si="5"/>
        <v>379E</v>
      </c>
      <c r="AC6" s="7" t="str">
        <f t="shared" si="6"/>
        <v>4A21</v>
      </c>
      <c r="AD6" s="3"/>
      <c r="AF6" s="7">
        <f t="shared" si="16"/>
        <v>21</v>
      </c>
      <c r="AG6" s="7">
        <f>AG5</f>
        <v>1</v>
      </c>
      <c r="AH6" s="7">
        <f>IF(AH5=30,0,30)</f>
        <v>30</v>
      </c>
      <c r="AI6" s="7">
        <f t="shared" ref="AI6:AI50" si="22">SUM(AI5+1)</f>
        <v>3</v>
      </c>
      <c r="AJ6" s="7" t="str">
        <f t="shared" si="7"/>
        <v>A5DE</v>
      </c>
      <c r="AK6" s="7" t="str">
        <f t="shared" si="8"/>
        <v>B861</v>
      </c>
      <c r="AL6" s="3"/>
      <c r="AM6" s="3"/>
      <c r="AN6" s="7">
        <f t="shared" si="17"/>
        <v>34</v>
      </c>
      <c r="AO6" s="7">
        <f>AO5</f>
        <v>1</v>
      </c>
      <c r="AP6" s="7">
        <f>IF(AP5=30,0,30)</f>
        <v>30</v>
      </c>
      <c r="AQ6" s="7">
        <f t="shared" ref="AQ6:AQ50" si="23">SUM(AQ5+1)</f>
        <v>3</v>
      </c>
      <c r="AR6" s="7" t="str">
        <f t="shared" si="9"/>
        <v>10C3E</v>
      </c>
      <c r="AS6" s="7" t="str">
        <f t="shared" si="10"/>
        <v>11EC1</v>
      </c>
      <c r="AT6" s="3"/>
      <c r="AU6" s="3"/>
      <c r="AV6" s="7">
        <v>60</v>
      </c>
      <c r="AW6" s="7">
        <f>AW5</f>
        <v>1</v>
      </c>
      <c r="AX6" s="7">
        <f>IF(AX5=30,0,30)</f>
        <v>30</v>
      </c>
      <c r="AY6" s="7">
        <f t="shared" ref="AY6:AY50" si="24">SUM(AY5+1)</f>
        <v>3</v>
      </c>
      <c r="AZ6" s="7" t="str">
        <f t="shared" si="11"/>
        <v>1D8FE</v>
      </c>
      <c r="BA6" s="7" t="str">
        <f t="shared" si="12"/>
        <v>1EB81</v>
      </c>
      <c r="BB6" s="3"/>
    </row>
    <row r="7" spans="1:54" x14ac:dyDescent="0.25">
      <c r="B7" s="7">
        <v>0</v>
      </c>
      <c r="C7" s="7">
        <f>SUM(C5+1)</f>
        <v>2</v>
      </c>
      <c r="D7" s="7">
        <f>IF(D6=30,0,30)</f>
        <v>0</v>
      </c>
      <c r="E7" s="7">
        <f t="shared" si="18"/>
        <v>4</v>
      </c>
      <c r="F7" s="7" t="str">
        <f t="shared" si="13"/>
        <v>A8</v>
      </c>
      <c r="G7" s="7" t="str">
        <f t="shared" si="0"/>
        <v>132B</v>
      </c>
      <c r="H7" s="3"/>
      <c r="I7" s="7">
        <v>1</v>
      </c>
      <c r="J7" s="7">
        <f>SUM(J5+1)</f>
        <v>2</v>
      </c>
      <c r="K7" s="7">
        <f>IF(K6=30,0,30)</f>
        <v>0</v>
      </c>
      <c r="L7" s="7">
        <f t="shared" si="19"/>
        <v>4</v>
      </c>
      <c r="M7" s="7" t="str">
        <f t="shared" si="1"/>
        <v>888</v>
      </c>
      <c r="N7" s="7" t="str">
        <f t="shared" si="2"/>
        <v>1B0B</v>
      </c>
      <c r="O7" s="3"/>
      <c r="P7" s="7">
        <f t="shared" si="14"/>
        <v>2</v>
      </c>
      <c r="Q7" s="7">
        <f>SUM(Q5+1)</f>
        <v>2</v>
      </c>
      <c r="R7" s="7">
        <f>IF(R6=30,0,30)</f>
        <v>0</v>
      </c>
      <c r="S7" s="7">
        <f t="shared" si="20"/>
        <v>4</v>
      </c>
      <c r="T7" s="7" t="str">
        <f t="shared" si="3"/>
        <v>1068</v>
      </c>
      <c r="U7" s="7" t="str">
        <f t="shared" si="4"/>
        <v>22EB</v>
      </c>
      <c r="V7" s="3"/>
      <c r="X7" s="7">
        <f t="shared" si="15"/>
        <v>7</v>
      </c>
      <c r="Y7" s="7">
        <f>SUM(Y5+1)</f>
        <v>2</v>
      </c>
      <c r="Z7" s="7">
        <f>IF(Z6=30,0,30)</f>
        <v>0</v>
      </c>
      <c r="AA7" s="7">
        <f t="shared" si="21"/>
        <v>4</v>
      </c>
      <c r="AB7" s="7" t="str">
        <f t="shared" si="5"/>
        <v>37C8</v>
      </c>
      <c r="AC7" s="7" t="str">
        <f t="shared" si="6"/>
        <v>4A4B</v>
      </c>
      <c r="AD7" s="3"/>
      <c r="AF7" s="7">
        <f t="shared" si="16"/>
        <v>21</v>
      </c>
      <c r="AG7" s="7">
        <f>SUM(AG5+1)</f>
        <v>2</v>
      </c>
      <c r="AH7" s="7">
        <f>IF(AH6=30,0,30)</f>
        <v>0</v>
      </c>
      <c r="AI7" s="7">
        <f t="shared" si="22"/>
        <v>4</v>
      </c>
      <c r="AJ7" s="7" t="str">
        <f t="shared" si="7"/>
        <v>A608</v>
      </c>
      <c r="AK7" s="7" t="str">
        <f t="shared" si="8"/>
        <v>B88B</v>
      </c>
      <c r="AL7" s="3"/>
      <c r="AM7" s="3"/>
      <c r="AN7" s="7">
        <f t="shared" si="17"/>
        <v>34</v>
      </c>
      <c r="AO7" s="7">
        <f>SUM(AO5+1)</f>
        <v>2</v>
      </c>
      <c r="AP7" s="7">
        <f>IF(AP6=30,0,30)</f>
        <v>0</v>
      </c>
      <c r="AQ7" s="7">
        <f t="shared" si="23"/>
        <v>4</v>
      </c>
      <c r="AR7" s="7" t="str">
        <f t="shared" si="9"/>
        <v>10C68</v>
      </c>
      <c r="AS7" s="7" t="str">
        <f t="shared" si="10"/>
        <v>11EEB</v>
      </c>
      <c r="AT7" s="3"/>
      <c r="AU7" s="3"/>
      <c r="AV7" s="7">
        <v>60</v>
      </c>
      <c r="AW7" s="7">
        <f>SUM(AW5+1)</f>
        <v>2</v>
      </c>
      <c r="AX7" s="7">
        <f>IF(AX6=30,0,30)</f>
        <v>0</v>
      </c>
      <c r="AY7" s="7">
        <f t="shared" si="24"/>
        <v>4</v>
      </c>
      <c r="AZ7" s="7" t="str">
        <f t="shared" si="11"/>
        <v>1D928</v>
      </c>
      <c r="BA7" s="7" t="str">
        <f t="shared" si="12"/>
        <v>1EBAB</v>
      </c>
      <c r="BB7" s="3"/>
    </row>
    <row r="8" spans="1:54" x14ac:dyDescent="0.25">
      <c r="B8" s="7">
        <v>0</v>
      </c>
      <c r="C8" s="7">
        <f>C7</f>
        <v>2</v>
      </c>
      <c r="D8" s="7">
        <f>IF(D7=30,0,30)</f>
        <v>30</v>
      </c>
      <c r="E8" s="7">
        <f t="shared" si="18"/>
        <v>5</v>
      </c>
      <c r="F8" s="7" t="str">
        <f t="shared" si="13"/>
        <v>D2</v>
      </c>
      <c r="G8" s="7" t="str">
        <f t="shared" si="0"/>
        <v>1355</v>
      </c>
      <c r="H8" s="3"/>
      <c r="I8" s="7">
        <v>1</v>
      </c>
      <c r="J8" s="7">
        <f>J7</f>
        <v>2</v>
      </c>
      <c r="K8" s="7">
        <f>IF(K7=30,0,30)</f>
        <v>30</v>
      </c>
      <c r="L8" s="7">
        <f t="shared" si="19"/>
        <v>5</v>
      </c>
      <c r="M8" s="7" t="str">
        <f t="shared" si="1"/>
        <v>8B2</v>
      </c>
      <c r="N8" s="7" t="str">
        <f t="shared" si="2"/>
        <v>1B35</v>
      </c>
      <c r="O8" s="3"/>
      <c r="P8" s="7">
        <f t="shared" si="14"/>
        <v>2</v>
      </c>
      <c r="Q8" s="7">
        <f>Q7</f>
        <v>2</v>
      </c>
      <c r="R8" s="7">
        <f>IF(R7=30,0,30)</f>
        <v>30</v>
      </c>
      <c r="S8" s="7">
        <f t="shared" si="20"/>
        <v>5</v>
      </c>
      <c r="T8" s="7" t="str">
        <f t="shared" si="3"/>
        <v>1092</v>
      </c>
      <c r="U8" s="7" t="str">
        <f t="shared" si="4"/>
        <v>2315</v>
      </c>
      <c r="V8" s="3"/>
      <c r="X8" s="7">
        <f t="shared" si="15"/>
        <v>7</v>
      </c>
      <c r="Y8" s="7">
        <f>Y7</f>
        <v>2</v>
      </c>
      <c r="Z8" s="7">
        <f>IF(Z7=30,0,30)</f>
        <v>30</v>
      </c>
      <c r="AA8" s="7">
        <f t="shared" si="21"/>
        <v>5</v>
      </c>
      <c r="AB8" s="7" t="str">
        <f t="shared" si="5"/>
        <v>37F2</v>
      </c>
      <c r="AC8" s="7" t="str">
        <f t="shared" si="6"/>
        <v>4A75</v>
      </c>
      <c r="AD8" s="3"/>
      <c r="AF8" s="7">
        <f t="shared" si="16"/>
        <v>21</v>
      </c>
      <c r="AG8" s="7">
        <f>AG7</f>
        <v>2</v>
      </c>
      <c r="AH8" s="7">
        <f>IF(AH7=30,0,30)</f>
        <v>30</v>
      </c>
      <c r="AI8" s="7">
        <f t="shared" si="22"/>
        <v>5</v>
      </c>
      <c r="AJ8" s="7" t="str">
        <f t="shared" si="7"/>
        <v>A632</v>
      </c>
      <c r="AK8" s="7" t="str">
        <f t="shared" si="8"/>
        <v>B8B5</v>
      </c>
      <c r="AL8" s="3"/>
      <c r="AM8" s="3"/>
      <c r="AN8" s="7">
        <f t="shared" si="17"/>
        <v>34</v>
      </c>
      <c r="AO8" s="7">
        <f>AO7</f>
        <v>2</v>
      </c>
      <c r="AP8" s="7">
        <f>IF(AP7=30,0,30)</f>
        <v>30</v>
      </c>
      <c r="AQ8" s="7">
        <f t="shared" si="23"/>
        <v>5</v>
      </c>
      <c r="AR8" s="7" t="str">
        <f t="shared" si="9"/>
        <v>10C92</v>
      </c>
      <c r="AS8" s="7" t="str">
        <f t="shared" si="10"/>
        <v>11F15</v>
      </c>
      <c r="AT8" s="3"/>
      <c r="AU8" s="3"/>
      <c r="AV8" s="7">
        <v>60</v>
      </c>
      <c r="AW8" s="7">
        <f>AW7</f>
        <v>2</v>
      </c>
      <c r="AX8" s="7">
        <f>IF(AX7=30,0,30)</f>
        <v>30</v>
      </c>
      <c r="AY8" s="7">
        <f t="shared" si="24"/>
        <v>5</v>
      </c>
      <c r="AZ8" s="7" t="str">
        <f t="shared" si="11"/>
        <v>1D952</v>
      </c>
      <c r="BA8" s="7" t="str">
        <f t="shared" si="12"/>
        <v>1EBD5</v>
      </c>
      <c r="BB8" s="3"/>
    </row>
    <row r="9" spans="1:54" x14ac:dyDescent="0.25">
      <c r="B9" s="7">
        <v>0</v>
      </c>
      <c r="C9" s="7">
        <f>SUM(C7+1)</f>
        <v>3</v>
      </c>
      <c r="D9" s="7">
        <f t="shared" ref="D9:D50" si="25">IF(D8=30,0,30)</f>
        <v>0</v>
      </c>
      <c r="E9" s="7">
        <f t="shared" si="18"/>
        <v>6</v>
      </c>
      <c r="F9" s="7" t="str">
        <f t="shared" si="13"/>
        <v>FC</v>
      </c>
      <c r="G9" s="7" t="str">
        <f t="shared" si="0"/>
        <v>137F</v>
      </c>
      <c r="H9" s="3"/>
      <c r="I9" s="7">
        <v>1</v>
      </c>
      <c r="J9" s="7">
        <f>SUM(J7+1)</f>
        <v>3</v>
      </c>
      <c r="K9" s="7">
        <f t="shared" ref="K9:K50" si="26">IF(K8=30,0,30)</f>
        <v>0</v>
      </c>
      <c r="L9" s="7">
        <f t="shared" si="19"/>
        <v>6</v>
      </c>
      <c r="M9" s="7" t="str">
        <f t="shared" si="1"/>
        <v>8DC</v>
      </c>
      <c r="N9" s="7" t="str">
        <f t="shared" si="2"/>
        <v>1B5F</v>
      </c>
      <c r="O9" s="3"/>
      <c r="P9" s="7">
        <f t="shared" si="14"/>
        <v>2</v>
      </c>
      <c r="Q9" s="7">
        <f>SUM(Q7+1)</f>
        <v>3</v>
      </c>
      <c r="R9" s="7">
        <f t="shared" ref="R9:R50" si="27">IF(R8=30,0,30)</f>
        <v>0</v>
      </c>
      <c r="S9" s="7">
        <f t="shared" si="20"/>
        <v>6</v>
      </c>
      <c r="T9" s="7" t="str">
        <f t="shared" si="3"/>
        <v>10BC</v>
      </c>
      <c r="U9" s="7" t="str">
        <f t="shared" si="4"/>
        <v>233F</v>
      </c>
      <c r="V9" s="3"/>
      <c r="X9" s="7">
        <f t="shared" si="15"/>
        <v>7</v>
      </c>
      <c r="Y9" s="7">
        <f>SUM(Y7+1)</f>
        <v>3</v>
      </c>
      <c r="Z9" s="7">
        <f t="shared" ref="Z9:Z50" si="28">IF(Z8=30,0,30)</f>
        <v>0</v>
      </c>
      <c r="AA9" s="7">
        <f t="shared" si="21"/>
        <v>6</v>
      </c>
      <c r="AB9" s="7" t="str">
        <f t="shared" si="5"/>
        <v>381C</v>
      </c>
      <c r="AC9" s="7" t="str">
        <f t="shared" si="6"/>
        <v>4A9F</v>
      </c>
      <c r="AD9" s="3"/>
      <c r="AF9" s="7">
        <f t="shared" si="16"/>
        <v>21</v>
      </c>
      <c r="AG9" s="7">
        <f>SUM(AG7+1)</f>
        <v>3</v>
      </c>
      <c r="AH9" s="7">
        <f t="shared" ref="AH9:AH50" si="29">IF(AH8=30,0,30)</f>
        <v>0</v>
      </c>
      <c r="AI9" s="7">
        <f t="shared" si="22"/>
        <v>6</v>
      </c>
      <c r="AJ9" s="7" t="str">
        <f t="shared" si="7"/>
        <v>A65C</v>
      </c>
      <c r="AK9" s="7" t="str">
        <f t="shared" si="8"/>
        <v>B8DF</v>
      </c>
      <c r="AL9" s="3"/>
      <c r="AM9" s="3"/>
      <c r="AN9" s="7">
        <f t="shared" si="17"/>
        <v>34</v>
      </c>
      <c r="AO9" s="7">
        <f>SUM(AO7+1)</f>
        <v>3</v>
      </c>
      <c r="AP9" s="7">
        <f t="shared" ref="AP9:AP50" si="30">IF(AP8=30,0,30)</f>
        <v>0</v>
      </c>
      <c r="AQ9" s="7">
        <f t="shared" si="23"/>
        <v>6</v>
      </c>
      <c r="AR9" s="7" t="str">
        <f t="shared" si="9"/>
        <v>10CBC</v>
      </c>
      <c r="AS9" s="7" t="str">
        <f t="shared" si="10"/>
        <v>11F3F</v>
      </c>
      <c r="AT9" s="3"/>
      <c r="AU9" s="3"/>
      <c r="AV9" s="7">
        <v>60</v>
      </c>
      <c r="AW9" s="7">
        <f>SUM(AW7+1)</f>
        <v>3</v>
      </c>
      <c r="AX9" s="7">
        <f t="shared" ref="AX9:AX50" si="31">IF(AX8=30,0,30)</f>
        <v>0</v>
      </c>
      <c r="AY9" s="7">
        <f t="shared" si="24"/>
        <v>6</v>
      </c>
      <c r="AZ9" s="7" t="str">
        <f t="shared" si="11"/>
        <v>1D97C</v>
      </c>
      <c r="BA9" s="7" t="str">
        <f t="shared" si="12"/>
        <v>1EBFF</v>
      </c>
      <c r="BB9" s="3"/>
    </row>
    <row r="10" spans="1:54" x14ac:dyDescent="0.25">
      <c r="B10" s="7">
        <v>0</v>
      </c>
      <c r="C10" s="7">
        <f>C9</f>
        <v>3</v>
      </c>
      <c r="D10" s="7">
        <f t="shared" si="25"/>
        <v>30</v>
      </c>
      <c r="E10" s="7">
        <f t="shared" si="18"/>
        <v>7</v>
      </c>
      <c r="F10" s="7" t="str">
        <f t="shared" si="13"/>
        <v>126</v>
      </c>
      <c r="G10" s="7" t="str">
        <f t="shared" si="0"/>
        <v>13A9</v>
      </c>
      <c r="H10" s="3"/>
      <c r="I10" s="7">
        <v>1</v>
      </c>
      <c r="J10" s="7">
        <f>J9</f>
        <v>3</v>
      </c>
      <c r="K10" s="7">
        <f t="shared" si="26"/>
        <v>30</v>
      </c>
      <c r="L10" s="7">
        <f t="shared" si="19"/>
        <v>7</v>
      </c>
      <c r="M10" s="7" t="str">
        <f t="shared" si="1"/>
        <v>906</v>
      </c>
      <c r="N10" s="7" t="str">
        <f t="shared" si="2"/>
        <v>1B89</v>
      </c>
      <c r="O10" s="3"/>
      <c r="P10" s="7">
        <f t="shared" si="14"/>
        <v>2</v>
      </c>
      <c r="Q10" s="7">
        <f>Q9</f>
        <v>3</v>
      </c>
      <c r="R10" s="7">
        <f t="shared" si="27"/>
        <v>30</v>
      </c>
      <c r="S10" s="7">
        <f t="shared" si="20"/>
        <v>7</v>
      </c>
      <c r="T10" s="7" t="str">
        <f t="shared" si="3"/>
        <v>10E6</v>
      </c>
      <c r="U10" s="7" t="str">
        <f t="shared" si="4"/>
        <v>2369</v>
      </c>
      <c r="V10" s="3"/>
      <c r="X10" s="7">
        <f t="shared" si="15"/>
        <v>7</v>
      </c>
      <c r="Y10" s="7">
        <f>Y9</f>
        <v>3</v>
      </c>
      <c r="Z10" s="7">
        <f t="shared" si="28"/>
        <v>30</v>
      </c>
      <c r="AA10" s="7">
        <f t="shared" si="21"/>
        <v>7</v>
      </c>
      <c r="AB10" s="7" t="str">
        <f t="shared" si="5"/>
        <v>3846</v>
      </c>
      <c r="AC10" s="7" t="str">
        <f t="shared" si="6"/>
        <v>4AC9</v>
      </c>
      <c r="AD10" s="3"/>
      <c r="AF10" s="7">
        <f t="shared" si="16"/>
        <v>21</v>
      </c>
      <c r="AG10" s="7">
        <f>AG9</f>
        <v>3</v>
      </c>
      <c r="AH10" s="7">
        <f t="shared" si="29"/>
        <v>30</v>
      </c>
      <c r="AI10" s="7">
        <f t="shared" si="22"/>
        <v>7</v>
      </c>
      <c r="AJ10" s="7" t="str">
        <f t="shared" si="7"/>
        <v>A686</v>
      </c>
      <c r="AK10" s="7" t="str">
        <f t="shared" si="8"/>
        <v>B909</v>
      </c>
      <c r="AL10" s="3"/>
      <c r="AM10" s="3"/>
      <c r="AN10" s="7">
        <f t="shared" si="17"/>
        <v>34</v>
      </c>
      <c r="AO10" s="7">
        <f>AO9</f>
        <v>3</v>
      </c>
      <c r="AP10" s="7">
        <f t="shared" si="30"/>
        <v>30</v>
      </c>
      <c r="AQ10" s="7">
        <f t="shared" si="23"/>
        <v>7</v>
      </c>
      <c r="AR10" s="7" t="str">
        <f t="shared" si="9"/>
        <v>10CE6</v>
      </c>
      <c r="AS10" s="7" t="str">
        <f t="shared" si="10"/>
        <v>11F69</v>
      </c>
      <c r="AT10" s="3"/>
      <c r="AU10" s="3"/>
      <c r="AV10" s="7">
        <v>60</v>
      </c>
      <c r="AW10" s="7">
        <f>AW9</f>
        <v>3</v>
      </c>
      <c r="AX10" s="7">
        <f t="shared" si="31"/>
        <v>30</v>
      </c>
      <c r="AY10" s="7">
        <f t="shared" si="24"/>
        <v>7</v>
      </c>
      <c r="AZ10" s="7" t="str">
        <f t="shared" si="11"/>
        <v>1D9A6</v>
      </c>
      <c r="BA10" s="7" t="str">
        <f t="shared" si="12"/>
        <v>1EC29</v>
      </c>
      <c r="BB10" s="3"/>
    </row>
    <row r="11" spans="1:54" x14ac:dyDescent="0.25">
      <c r="B11" s="7">
        <v>0</v>
      </c>
      <c r="C11" s="7">
        <f>SUM(C9+1)</f>
        <v>4</v>
      </c>
      <c r="D11" s="7">
        <f t="shared" si="25"/>
        <v>0</v>
      </c>
      <c r="E11" s="7">
        <f t="shared" si="18"/>
        <v>8</v>
      </c>
      <c r="F11" s="7" t="str">
        <f t="shared" si="13"/>
        <v>150</v>
      </c>
      <c r="G11" s="7" t="str">
        <f t="shared" si="0"/>
        <v>13D3</v>
      </c>
      <c r="H11" s="3"/>
      <c r="I11" s="7">
        <v>1</v>
      </c>
      <c r="J11" s="7">
        <f>SUM(J9+1)</f>
        <v>4</v>
      </c>
      <c r="K11" s="7">
        <f t="shared" si="26"/>
        <v>0</v>
      </c>
      <c r="L11" s="7">
        <f t="shared" si="19"/>
        <v>8</v>
      </c>
      <c r="M11" s="7" t="str">
        <f t="shared" si="1"/>
        <v>930</v>
      </c>
      <c r="N11" s="7" t="str">
        <f t="shared" si="2"/>
        <v>1BB3</v>
      </c>
      <c r="O11" s="3"/>
      <c r="P11" s="7">
        <f t="shared" si="14"/>
        <v>2</v>
      </c>
      <c r="Q11" s="7">
        <f>SUM(Q9+1)</f>
        <v>4</v>
      </c>
      <c r="R11" s="7">
        <f t="shared" si="27"/>
        <v>0</v>
      </c>
      <c r="S11" s="7">
        <f t="shared" si="20"/>
        <v>8</v>
      </c>
      <c r="T11" s="7" t="str">
        <f t="shared" si="3"/>
        <v>1110</v>
      </c>
      <c r="U11" s="7" t="str">
        <f t="shared" si="4"/>
        <v>2393</v>
      </c>
      <c r="V11" s="3"/>
      <c r="X11" s="7">
        <f t="shared" si="15"/>
        <v>7</v>
      </c>
      <c r="Y11" s="7">
        <f>SUM(Y9+1)</f>
        <v>4</v>
      </c>
      <c r="Z11" s="7">
        <f t="shared" si="28"/>
        <v>0</v>
      </c>
      <c r="AA11" s="7">
        <f t="shared" si="21"/>
        <v>8</v>
      </c>
      <c r="AB11" s="7" t="str">
        <f t="shared" si="5"/>
        <v>3870</v>
      </c>
      <c r="AC11" s="7" t="str">
        <f t="shared" si="6"/>
        <v>4AF3</v>
      </c>
      <c r="AD11" s="3"/>
      <c r="AF11" s="7">
        <f t="shared" si="16"/>
        <v>21</v>
      </c>
      <c r="AG11" s="7">
        <f>SUM(AG9+1)</f>
        <v>4</v>
      </c>
      <c r="AH11" s="7">
        <f t="shared" si="29"/>
        <v>0</v>
      </c>
      <c r="AI11" s="7">
        <f t="shared" si="22"/>
        <v>8</v>
      </c>
      <c r="AJ11" s="7" t="str">
        <f t="shared" si="7"/>
        <v>A6B0</v>
      </c>
      <c r="AK11" s="7" t="str">
        <f t="shared" si="8"/>
        <v>B933</v>
      </c>
      <c r="AL11" s="3"/>
      <c r="AM11" s="3"/>
      <c r="AN11" s="7">
        <f t="shared" si="17"/>
        <v>34</v>
      </c>
      <c r="AO11" s="7">
        <f>SUM(AO9+1)</f>
        <v>4</v>
      </c>
      <c r="AP11" s="7">
        <f t="shared" si="30"/>
        <v>0</v>
      </c>
      <c r="AQ11" s="7">
        <f t="shared" si="23"/>
        <v>8</v>
      </c>
      <c r="AR11" s="7" t="str">
        <f t="shared" si="9"/>
        <v>10D10</v>
      </c>
      <c r="AS11" s="7" t="str">
        <f t="shared" si="10"/>
        <v>11F93</v>
      </c>
      <c r="AT11" s="3"/>
      <c r="AU11" s="3"/>
      <c r="AV11" s="7">
        <v>60</v>
      </c>
      <c r="AW11" s="7">
        <f>SUM(AW9+1)</f>
        <v>4</v>
      </c>
      <c r="AX11" s="7">
        <f t="shared" si="31"/>
        <v>0</v>
      </c>
      <c r="AY11" s="7">
        <f t="shared" si="24"/>
        <v>8</v>
      </c>
      <c r="AZ11" s="7" t="str">
        <f t="shared" si="11"/>
        <v>1D9D0</v>
      </c>
      <c r="BA11" s="7" t="str">
        <f t="shared" si="12"/>
        <v>1EC53</v>
      </c>
      <c r="BB11" s="3"/>
    </row>
    <row r="12" spans="1:54" x14ac:dyDescent="0.25">
      <c r="B12" s="7">
        <v>0</v>
      </c>
      <c r="C12" s="7">
        <f>C11</f>
        <v>4</v>
      </c>
      <c r="D12" s="7">
        <f t="shared" si="25"/>
        <v>30</v>
      </c>
      <c r="E12" s="7">
        <f t="shared" si="18"/>
        <v>9</v>
      </c>
      <c r="F12" s="7" t="str">
        <f t="shared" si="13"/>
        <v>17A</v>
      </c>
      <c r="G12" s="7" t="str">
        <f t="shared" si="0"/>
        <v>13FD</v>
      </c>
      <c r="H12" s="3"/>
      <c r="I12" s="7">
        <v>1</v>
      </c>
      <c r="J12" s="7">
        <f>J11</f>
        <v>4</v>
      </c>
      <c r="K12" s="7">
        <f t="shared" si="26"/>
        <v>30</v>
      </c>
      <c r="L12" s="7">
        <f t="shared" si="19"/>
        <v>9</v>
      </c>
      <c r="M12" s="7" t="str">
        <f t="shared" si="1"/>
        <v>95A</v>
      </c>
      <c r="N12" s="7" t="str">
        <f t="shared" si="2"/>
        <v>1BDD</v>
      </c>
      <c r="O12" s="3"/>
      <c r="P12" s="7">
        <f t="shared" si="14"/>
        <v>2</v>
      </c>
      <c r="Q12" s="7">
        <f>Q11</f>
        <v>4</v>
      </c>
      <c r="R12" s="7">
        <f t="shared" si="27"/>
        <v>30</v>
      </c>
      <c r="S12" s="7">
        <f t="shared" si="20"/>
        <v>9</v>
      </c>
      <c r="T12" s="7" t="str">
        <f t="shared" si="3"/>
        <v>113A</v>
      </c>
      <c r="U12" s="7" t="str">
        <f t="shared" si="4"/>
        <v>23BD</v>
      </c>
      <c r="V12" s="3"/>
      <c r="X12" s="7">
        <f t="shared" si="15"/>
        <v>7</v>
      </c>
      <c r="Y12" s="7">
        <f>Y11</f>
        <v>4</v>
      </c>
      <c r="Z12" s="7">
        <f t="shared" si="28"/>
        <v>30</v>
      </c>
      <c r="AA12" s="7">
        <f t="shared" si="21"/>
        <v>9</v>
      </c>
      <c r="AB12" s="7" t="str">
        <f t="shared" si="5"/>
        <v>389A</v>
      </c>
      <c r="AC12" s="7" t="str">
        <f t="shared" si="6"/>
        <v>4B1D</v>
      </c>
      <c r="AD12" s="3"/>
      <c r="AF12" s="7">
        <f t="shared" si="16"/>
        <v>21</v>
      </c>
      <c r="AG12" s="7">
        <f>AG11</f>
        <v>4</v>
      </c>
      <c r="AH12" s="7">
        <f t="shared" si="29"/>
        <v>30</v>
      </c>
      <c r="AI12" s="7">
        <f t="shared" si="22"/>
        <v>9</v>
      </c>
      <c r="AJ12" s="7" t="str">
        <f t="shared" si="7"/>
        <v>A6DA</v>
      </c>
      <c r="AK12" s="7" t="str">
        <f t="shared" si="8"/>
        <v>B95D</v>
      </c>
      <c r="AL12" s="3"/>
      <c r="AM12" s="3"/>
      <c r="AN12" s="7">
        <f t="shared" si="17"/>
        <v>34</v>
      </c>
      <c r="AO12" s="7">
        <f>AO11</f>
        <v>4</v>
      </c>
      <c r="AP12" s="7">
        <f t="shared" si="30"/>
        <v>30</v>
      </c>
      <c r="AQ12" s="7">
        <f t="shared" si="23"/>
        <v>9</v>
      </c>
      <c r="AR12" s="7" t="str">
        <f t="shared" si="9"/>
        <v>10D3A</v>
      </c>
      <c r="AS12" s="7" t="str">
        <f t="shared" si="10"/>
        <v>11FBD</v>
      </c>
      <c r="AT12" s="3"/>
      <c r="AU12" s="3"/>
      <c r="AV12" s="7">
        <v>60</v>
      </c>
      <c r="AW12" s="7">
        <f>AW11</f>
        <v>4</v>
      </c>
      <c r="AX12" s="7">
        <f t="shared" si="31"/>
        <v>30</v>
      </c>
      <c r="AY12" s="7">
        <f t="shared" si="24"/>
        <v>9</v>
      </c>
      <c r="AZ12" s="7" t="str">
        <f t="shared" si="11"/>
        <v>1D9FA</v>
      </c>
      <c r="BA12" s="7" t="str">
        <f t="shared" si="12"/>
        <v>1EC7D</v>
      </c>
      <c r="BB12" s="3"/>
    </row>
    <row r="13" spans="1:54" x14ac:dyDescent="0.25">
      <c r="B13" s="7">
        <v>0</v>
      </c>
      <c r="C13" s="7">
        <f>SUM(C11+1)</f>
        <v>5</v>
      </c>
      <c r="D13" s="7">
        <f t="shared" si="25"/>
        <v>0</v>
      </c>
      <c r="E13" s="7">
        <f t="shared" si="18"/>
        <v>10</v>
      </c>
      <c r="F13" s="7" t="str">
        <f t="shared" si="13"/>
        <v>1A4</v>
      </c>
      <c r="G13" s="7" t="str">
        <f t="shared" si="0"/>
        <v>1427</v>
      </c>
      <c r="H13" s="3"/>
      <c r="I13" s="7">
        <v>1</v>
      </c>
      <c r="J13" s="7">
        <f>SUM(J11+1)</f>
        <v>5</v>
      </c>
      <c r="K13" s="7">
        <f t="shared" si="26"/>
        <v>0</v>
      </c>
      <c r="L13" s="7">
        <f t="shared" si="19"/>
        <v>10</v>
      </c>
      <c r="M13" s="7" t="str">
        <f t="shared" si="1"/>
        <v>984</v>
      </c>
      <c r="N13" s="7" t="str">
        <f t="shared" si="2"/>
        <v>1C07</v>
      </c>
      <c r="O13" s="3"/>
      <c r="P13" s="7">
        <f t="shared" si="14"/>
        <v>2</v>
      </c>
      <c r="Q13" s="7">
        <f>SUM(Q11+1)</f>
        <v>5</v>
      </c>
      <c r="R13" s="7">
        <f t="shared" si="27"/>
        <v>0</v>
      </c>
      <c r="S13" s="7">
        <f t="shared" si="20"/>
        <v>10</v>
      </c>
      <c r="T13" s="7" t="str">
        <f t="shared" si="3"/>
        <v>1164</v>
      </c>
      <c r="U13" s="7" t="str">
        <f t="shared" si="4"/>
        <v>23E7</v>
      </c>
      <c r="V13" s="3"/>
      <c r="X13" s="7">
        <f t="shared" si="15"/>
        <v>7</v>
      </c>
      <c r="Y13" s="7">
        <f>SUM(Y11+1)</f>
        <v>5</v>
      </c>
      <c r="Z13" s="7">
        <f t="shared" si="28"/>
        <v>0</v>
      </c>
      <c r="AA13" s="7">
        <f t="shared" si="21"/>
        <v>10</v>
      </c>
      <c r="AB13" s="7" t="str">
        <f t="shared" si="5"/>
        <v>38C4</v>
      </c>
      <c r="AC13" s="7" t="str">
        <f t="shared" si="6"/>
        <v>4B47</v>
      </c>
      <c r="AD13" s="3"/>
      <c r="AF13" s="7">
        <f t="shared" si="16"/>
        <v>21</v>
      </c>
      <c r="AG13" s="7">
        <f>SUM(AG11+1)</f>
        <v>5</v>
      </c>
      <c r="AH13" s="7">
        <f t="shared" si="29"/>
        <v>0</v>
      </c>
      <c r="AI13" s="7">
        <f t="shared" si="22"/>
        <v>10</v>
      </c>
      <c r="AJ13" s="7" t="str">
        <f t="shared" si="7"/>
        <v>A704</v>
      </c>
      <c r="AK13" s="7" t="str">
        <f t="shared" si="8"/>
        <v>B987</v>
      </c>
      <c r="AL13" s="3"/>
      <c r="AM13" s="3"/>
      <c r="AN13" s="7">
        <f t="shared" si="17"/>
        <v>34</v>
      </c>
      <c r="AO13" s="7">
        <f>SUM(AO11+1)</f>
        <v>5</v>
      </c>
      <c r="AP13" s="7">
        <f t="shared" si="30"/>
        <v>0</v>
      </c>
      <c r="AQ13" s="7">
        <f t="shared" si="23"/>
        <v>10</v>
      </c>
      <c r="AR13" s="7" t="str">
        <f t="shared" si="9"/>
        <v>10D64</v>
      </c>
      <c r="AS13" s="7" t="str">
        <f t="shared" si="10"/>
        <v>11FE7</v>
      </c>
      <c r="AT13" s="3"/>
      <c r="AU13" s="3"/>
      <c r="AV13" s="7">
        <v>60</v>
      </c>
      <c r="AW13" s="7">
        <f>SUM(AW11+1)</f>
        <v>5</v>
      </c>
      <c r="AX13" s="7">
        <f t="shared" si="31"/>
        <v>0</v>
      </c>
      <c r="AY13" s="7">
        <f t="shared" si="24"/>
        <v>10</v>
      </c>
      <c r="AZ13" s="7" t="str">
        <f t="shared" si="11"/>
        <v>1DA24</v>
      </c>
      <c r="BA13" s="7" t="str">
        <f t="shared" si="12"/>
        <v>1ECA7</v>
      </c>
      <c r="BB13" s="3"/>
    </row>
    <row r="14" spans="1:54" x14ac:dyDescent="0.25">
      <c r="B14" s="7">
        <v>0</v>
      </c>
      <c r="C14" s="7">
        <f>C13</f>
        <v>5</v>
      </c>
      <c r="D14" s="7">
        <f t="shared" si="25"/>
        <v>30</v>
      </c>
      <c r="E14" s="7">
        <f t="shared" si="18"/>
        <v>11</v>
      </c>
      <c r="F14" s="7" t="str">
        <f t="shared" si="13"/>
        <v>1CE</v>
      </c>
      <c r="G14" s="7" t="str">
        <f t="shared" si="0"/>
        <v>1451</v>
      </c>
      <c r="H14" s="3"/>
      <c r="I14" s="7">
        <v>1</v>
      </c>
      <c r="J14" s="7">
        <f>J13</f>
        <v>5</v>
      </c>
      <c r="K14" s="7">
        <f t="shared" si="26"/>
        <v>30</v>
      </c>
      <c r="L14" s="7">
        <f t="shared" si="19"/>
        <v>11</v>
      </c>
      <c r="M14" s="7" t="str">
        <f t="shared" si="1"/>
        <v>9AE</v>
      </c>
      <c r="N14" s="7" t="str">
        <f t="shared" si="2"/>
        <v>1C31</v>
      </c>
      <c r="O14" s="3"/>
      <c r="P14" s="7">
        <f t="shared" si="14"/>
        <v>2</v>
      </c>
      <c r="Q14" s="7">
        <f>Q13</f>
        <v>5</v>
      </c>
      <c r="R14" s="7">
        <f t="shared" si="27"/>
        <v>30</v>
      </c>
      <c r="S14" s="7">
        <f t="shared" si="20"/>
        <v>11</v>
      </c>
      <c r="T14" s="7" t="str">
        <f t="shared" si="3"/>
        <v>118E</v>
      </c>
      <c r="U14" s="7" t="str">
        <f t="shared" si="4"/>
        <v>2411</v>
      </c>
      <c r="V14" s="3"/>
      <c r="X14" s="7">
        <f t="shared" si="15"/>
        <v>7</v>
      </c>
      <c r="Y14" s="7">
        <f>Y13</f>
        <v>5</v>
      </c>
      <c r="Z14" s="7">
        <f t="shared" si="28"/>
        <v>30</v>
      </c>
      <c r="AA14" s="7">
        <f t="shared" si="21"/>
        <v>11</v>
      </c>
      <c r="AB14" s="7" t="str">
        <f t="shared" si="5"/>
        <v>38EE</v>
      </c>
      <c r="AC14" s="7" t="str">
        <f t="shared" si="6"/>
        <v>4B71</v>
      </c>
      <c r="AD14" s="3"/>
      <c r="AF14" s="7">
        <f t="shared" si="16"/>
        <v>21</v>
      </c>
      <c r="AG14" s="7">
        <f>AG13</f>
        <v>5</v>
      </c>
      <c r="AH14" s="7">
        <f t="shared" si="29"/>
        <v>30</v>
      </c>
      <c r="AI14" s="7">
        <f t="shared" si="22"/>
        <v>11</v>
      </c>
      <c r="AJ14" s="7" t="str">
        <f t="shared" si="7"/>
        <v>A72E</v>
      </c>
      <c r="AK14" s="7" t="str">
        <f t="shared" si="8"/>
        <v>B9B1</v>
      </c>
      <c r="AL14" s="3"/>
      <c r="AM14" s="3"/>
      <c r="AN14" s="7">
        <f t="shared" si="17"/>
        <v>34</v>
      </c>
      <c r="AO14" s="7">
        <f>AO13</f>
        <v>5</v>
      </c>
      <c r="AP14" s="7">
        <f t="shared" si="30"/>
        <v>30</v>
      </c>
      <c r="AQ14" s="7">
        <f t="shared" si="23"/>
        <v>11</v>
      </c>
      <c r="AR14" s="7" t="str">
        <f t="shared" si="9"/>
        <v>10D8E</v>
      </c>
      <c r="AS14" s="7" t="str">
        <f t="shared" si="10"/>
        <v>12011</v>
      </c>
      <c r="AT14" s="3"/>
      <c r="AU14" s="3"/>
      <c r="AV14" s="7">
        <v>60</v>
      </c>
      <c r="AW14" s="7">
        <f>AW13</f>
        <v>5</v>
      </c>
      <c r="AX14" s="7">
        <f t="shared" si="31"/>
        <v>30</v>
      </c>
      <c r="AY14" s="7">
        <f t="shared" si="24"/>
        <v>11</v>
      </c>
      <c r="AZ14" s="7" t="str">
        <f t="shared" si="11"/>
        <v>1DA4E</v>
      </c>
      <c r="BA14" s="7" t="str">
        <f t="shared" si="12"/>
        <v>1ECD1</v>
      </c>
      <c r="BB14" s="3"/>
    </row>
    <row r="15" spans="1:54" x14ac:dyDescent="0.25">
      <c r="B15" s="7">
        <v>0</v>
      </c>
      <c r="C15" s="7">
        <f>SUM(C13+1)</f>
        <v>6</v>
      </c>
      <c r="D15" s="7">
        <f t="shared" si="25"/>
        <v>0</v>
      </c>
      <c r="E15" s="7">
        <f t="shared" si="18"/>
        <v>12</v>
      </c>
      <c r="F15" s="7" t="str">
        <f t="shared" si="13"/>
        <v>1F8</v>
      </c>
      <c r="G15" s="7" t="str">
        <f t="shared" si="0"/>
        <v>147B</v>
      </c>
      <c r="H15" s="3"/>
      <c r="I15" s="7">
        <v>1</v>
      </c>
      <c r="J15" s="7">
        <f>SUM(J13+1)</f>
        <v>6</v>
      </c>
      <c r="K15" s="7">
        <f t="shared" si="26"/>
        <v>0</v>
      </c>
      <c r="L15" s="7">
        <f t="shared" si="19"/>
        <v>12</v>
      </c>
      <c r="M15" s="7" t="str">
        <f t="shared" si="1"/>
        <v>9D8</v>
      </c>
      <c r="N15" s="7" t="str">
        <f t="shared" si="2"/>
        <v>1C5B</v>
      </c>
      <c r="O15" s="3"/>
      <c r="P15" s="7">
        <f t="shared" si="14"/>
        <v>2</v>
      </c>
      <c r="Q15" s="7">
        <f>SUM(Q13+1)</f>
        <v>6</v>
      </c>
      <c r="R15" s="7">
        <f t="shared" si="27"/>
        <v>0</v>
      </c>
      <c r="S15" s="7">
        <f t="shared" si="20"/>
        <v>12</v>
      </c>
      <c r="T15" s="7" t="str">
        <f t="shared" si="3"/>
        <v>11B8</v>
      </c>
      <c r="U15" s="7" t="str">
        <f t="shared" si="4"/>
        <v>243B</v>
      </c>
      <c r="V15" s="3"/>
      <c r="X15" s="7">
        <f t="shared" si="15"/>
        <v>7</v>
      </c>
      <c r="Y15" s="7">
        <f>SUM(Y13+1)</f>
        <v>6</v>
      </c>
      <c r="Z15" s="7">
        <f t="shared" si="28"/>
        <v>0</v>
      </c>
      <c r="AA15" s="7">
        <f t="shared" si="21"/>
        <v>12</v>
      </c>
      <c r="AB15" s="7" t="str">
        <f t="shared" si="5"/>
        <v>3918</v>
      </c>
      <c r="AC15" s="7" t="str">
        <f t="shared" si="6"/>
        <v>4B9B</v>
      </c>
      <c r="AD15" s="3"/>
      <c r="AF15" s="7">
        <f t="shared" si="16"/>
        <v>21</v>
      </c>
      <c r="AG15" s="7">
        <f>SUM(AG13+1)</f>
        <v>6</v>
      </c>
      <c r="AH15" s="7">
        <f t="shared" si="29"/>
        <v>0</v>
      </c>
      <c r="AI15" s="7">
        <f t="shared" si="22"/>
        <v>12</v>
      </c>
      <c r="AJ15" s="7" t="str">
        <f t="shared" si="7"/>
        <v>A758</v>
      </c>
      <c r="AK15" s="7" t="str">
        <f t="shared" si="8"/>
        <v>B9DB</v>
      </c>
      <c r="AL15" s="3"/>
      <c r="AM15" s="3"/>
      <c r="AN15" s="7">
        <f t="shared" si="17"/>
        <v>34</v>
      </c>
      <c r="AO15" s="7">
        <f>SUM(AO13+1)</f>
        <v>6</v>
      </c>
      <c r="AP15" s="7">
        <f t="shared" si="30"/>
        <v>0</v>
      </c>
      <c r="AQ15" s="7">
        <f t="shared" si="23"/>
        <v>12</v>
      </c>
      <c r="AR15" s="7" t="str">
        <f t="shared" si="9"/>
        <v>10DB8</v>
      </c>
      <c r="AS15" s="7" t="str">
        <f t="shared" si="10"/>
        <v>1203B</v>
      </c>
      <c r="AT15" s="3"/>
      <c r="AU15" s="3"/>
      <c r="AV15" s="7">
        <v>60</v>
      </c>
      <c r="AW15" s="7">
        <f>SUM(AW13+1)</f>
        <v>6</v>
      </c>
      <c r="AX15" s="7">
        <f t="shared" si="31"/>
        <v>0</v>
      </c>
      <c r="AY15" s="7">
        <f t="shared" si="24"/>
        <v>12</v>
      </c>
      <c r="AZ15" s="7" t="str">
        <f t="shared" si="11"/>
        <v>1DA78</v>
      </c>
      <c r="BA15" s="7" t="str">
        <f t="shared" si="12"/>
        <v>1ECFB</v>
      </c>
      <c r="BB15" s="3"/>
    </row>
    <row r="16" spans="1:54" x14ac:dyDescent="0.25">
      <c r="B16" s="7">
        <v>0</v>
      </c>
      <c r="C16" s="7">
        <f>C15</f>
        <v>6</v>
      </c>
      <c r="D16" s="7">
        <f t="shared" si="25"/>
        <v>30</v>
      </c>
      <c r="E16" s="7">
        <f t="shared" si="18"/>
        <v>13</v>
      </c>
      <c r="F16" s="7" t="str">
        <f t="shared" si="13"/>
        <v>222</v>
      </c>
      <c r="G16" s="7" t="str">
        <f t="shared" si="0"/>
        <v>14A5</v>
      </c>
      <c r="H16" s="3"/>
      <c r="I16" s="7">
        <v>1</v>
      </c>
      <c r="J16" s="7">
        <f>J15</f>
        <v>6</v>
      </c>
      <c r="K16" s="7">
        <f t="shared" si="26"/>
        <v>30</v>
      </c>
      <c r="L16" s="7">
        <f t="shared" si="19"/>
        <v>13</v>
      </c>
      <c r="M16" s="7" t="str">
        <f t="shared" si="1"/>
        <v>A02</v>
      </c>
      <c r="N16" s="7" t="str">
        <f t="shared" si="2"/>
        <v>1C85</v>
      </c>
      <c r="O16" s="3"/>
      <c r="P16" s="7">
        <f t="shared" si="14"/>
        <v>2</v>
      </c>
      <c r="Q16" s="7">
        <f>Q15</f>
        <v>6</v>
      </c>
      <c r="R16" s="7">
        <f t="shared" si="27"/>
        <v>30</v>
      </c>
      <c r="S16" s="7">
        <f t="shared" si="20"/>
        <v>13</v>
      </c>
      <c r="T16" s="7" t="str">
        <f t="shared" si="3"/>
        <v>11E2</v>
      </c>
      <c r="U16" s="7" t="str">
        <f t="shared" si="4"/>
        <v>2465</v>
      </c>
      <c r="V16" s="3"/>
      <c r="X16" s="7">
        <f t="shared" si="15"/>
        <v>7</v>
      </c>
      <c r="Y16" s="7">
        <f>Y15</f>
        <v>6</v>
      </c>
      <c r="Z16" s="7">
        <f t="shared" si="28"/>
        <v>30</v>
      </c>
      <c r="AA16" s="7">
        <f t="shared" si="21"/>
        <v>13</v>
      </c>
      <c r="AB16" s="7" t="str">
        <f t="shared" si="5"/>
        <v>3942</v>
      </c>
      <c r="AC16" s="7" t="str">
        <f t="shared" si="6"/>
        <v>4BC5</v>
      </c>
      <c r="AD16" s="3"/>
      <c r="AF16" s="7">
        <f t="shared" si="16"/>
        <v>21</v>
      </c>
      <c r="AG16" s="7">
        <f>AG15</f>
        <v>6</v>
      </c>
      <c r="AH16" s="7">
        <f t="shared" si="29"/>
        <v>30</v>
      </c>
      <c r="AI16" s="7">
        <f t="shared" si="22"/>
        <v>13</v>
      </c>
      <c r="AJ16" s="7" t="str">
        <f t="shared" si="7"/>
        <v>A782</v>
      </c>
      <c r="AK16" s="7" t="str">
        <f t="shared" si="8"/>
        <v>BA05</v>
      </c>
      <c r="AL16" s="3"/>
      <c r="AM16" s="3"/>
      <c r="AN16" s="7">
        <f t="shared" si="17"/>
        <v>34</v>
      </c>
      <c r="AO16" s="7">
        <f>AO15</f>
        <v>6</v>
      </c>
      <c r="AP16" s="7">
        <f t="shared" si="30"/>
        <v>30</v>
      </c>
      <c r="AQ16" s="7">
        <f t="shared" si="23"/>
        <v>13</v>
      </c>
      <c r="AR16" s="7" t="str">
        <f t="shared" si="9"/>
        <v>10DE2</v>
      </c>
      <c r="AS16" s="7" t="str">
        <f t="shared" si="10"/>
        <v>12065</v>
      </c>
      <c r="AT16" s="3"/>
      <c r="AU16" s="3"/>
      <c r="AV16" s="7">
        <v>60</v>
      </c>
      <c r="AW16" s="7">
        <f>AW15</f>
        <v>6</v>
      </c>
      <c r="AX16" s="7">
        <f t="shared" si="31"/>
        <v>30</v>
      </c>
      <c r="AY16" s="7">
        <f t="shared" si="24"/>
        <v>13</v>
      </c>
      <c r="AZ16" s="7" t="str">
        <f t="shared" si="11"/>
        <v>1DAA2</v>
      </c>
      <c r="BA16" s="7" t="str">
        <f t="shared" si="12"/>
        <v>1ED25</v>
      </c>
      <c r="BB16" s="3"/>
    </row>
    <row r="17" spans="2:54" x14ac:dyDescent="0.25">
      <c r="B17" s="7">
        <v>0</v>
      </c>
      <c r="C17" s="7">
        <f>SUM(C15+1)</f>
        <v>7</v>
      </c>
      <c r="D17" s="7">
        <f t="shared" si="25"/>
        <v>0</v>
      </c>
      <c r="E17" s="7">
        <f t="shared" si="18"/>
        <v>14</v>
      </c>
      <c r="F17" s="7" t="str">
        <f t="shared" si="13"/>
        <v>24C</v>
      </c>
      <c r="G17" s="7" t="str">
        <f t="shared" si="0"/>
        <v>14CF</v>
      </c>
      <c r="H17" s="3"/>
      <c r="I17" s="7">
        <v>1</v>
      </c>
      <c r="J17" s="7">
        <f>SUM(J15+1)</f>
        <v>7</v>
      </c>
      <c r="K17" s="7">
        <f t="shared" si="26"/>
        <v>0</v>
      </c>
      <c r="L17" s="7">
        <f t="shared" si="19"/>
        <v>14</v>
      </c>
      <c r="M17" s="7" t="str">
        <f t="shared" si="1"/>
        <v>A2C</v>
      </c>
      <c r="N17" s="7" t="str">
        <f t="shared" si="2"/>
        <v>1CAF</v>
      </c>
      <c r="O17" s="3"/>
      <c r="P17" s="7">
        <f t="shared" si="14"/>
        <v>2</v>
      </c>
      <c r="Q17" s="7">
        <f>SUM(Q15+1)</f>
        <v>7</v>
      </c>
      <c r="R17" s="7">
        <f t="shared" si="27"/>
        <v>0</v>
      </c>
      <c r="S17" s="7">
        <f t="shared" si="20"/>
        <v>14</v>
      </c>
      <c r="T17" s="7" t="str">
        <f t="shared" si="3"/>
        <v>120C</v>
      </c>
      <c r="U17" s="7" t="str">
        <f t="shared" si="4"/>
        <v>248F</v>
      </c>
      <c r="V17" s="3"/>
      <c r="X17" s="7">
        <f t="shared" si="15"/>
        <v>7</v>
      </c>
      <c r="Y17" s="7">
        <f>SUM(Y15+1)</f>
        <v>7</v>
      </c>
      <c r="Z17" s="7">
        <f t="shared" si="28"/>
        <v>0</v>
      </c>
      <c r="AA17" s="7">
        <f t="shared" si="21"/>
        <v>14</v>
      </c>
      <c r="AB17" s="7" t="str">
        <f t="shared" si="5"/>
        <v>396C</v>
      </c>
      <c r="AC17" s="7" t="str">
        <f t="shared" si="6"/>
        <v>4BEF</v>
      </c>
      <c r="AD17" s="3"/>
      <c r="AF17" s="7">
        <f t="shared" si="16"/>
        <v>21</v>
      </c>
      <c r="AG17" s="7">
        <f>SUM(AG15+1)</f>
        <v>7</v>
      </c>
      <c r="AH17" s="7">
        <f t="shared" si="29"/>
        <v>0</v>
      </c>
      <c r="AI17" s="7">
        <f t="shared" si="22"/>
        <v>14</v>
      </c>
      <c r="AJ17" s="7" t="str">
        <f t="shared" si="7"/>
        <v>A7AC</v>
      </c>
      <c r="AK17" s="7" t="str">
        <f t="shared" si="8"/>
        <v>BA2F</v>
      </c>
      <c r="AL17" s="3"/>
      <c r="AM17" s="3"/>
      <c r="AN17" s="7">
        <f t="shared" si="17"/>
        <v>34</v>
      </c>
      <c r="AO17" s="7">
        <f>SUM(AO15+1)</f>
        <v>7</v>
      </c>
      <c r="AP17" s="7">
        <f t="shared" si="30"/>
        <v>0</v>
      </c>
      <c r="AQ17" s="7">
        <f t="shared" si="23"/>
        <v>14</v>
      </c>
      <c r="AR17" s="7" t="str">
        <f t="shared" si="9"/>
        <v>10E0C</v>
      </c>
      <c r="AS17" s="7" t="str">
        <f t="shared" si="10"/>
        <v>1208F</v>
      </c>
      <c r="AT17" s="3"/>
      <c r="AU17" s="3"/>
      <c r="AV17" s="7">
        <v>60</v>
      </c>
      <c r="AW17" s="7">
        <f>SUM(AW15+1)</f>
        <v>7</v>
      </c>
      <c r="AX17" s="7">
        <f t="shared" si="31"/>
        <v>0</v>
      </c>
      <c r="AY17" s="7">
        <f t="shared" si="24"/>
        <v>14</v>
      </c>
      <c r="AZ17" s="7" t="str">
        <f t="shared" si="11"/>
        <v>1DACC</v>
      </c>
      <c r="BA17" s="7" t="str">
        <f t="shared" si="12"/>
        <v>1ED4F</v>
      </c>
      <c r="BB17" s="3"/>
    </row>
    <row r="18" spans="2:54" x14ac:dyDescent="0.25">
      <c r="B18" s="7">
        <v>0</v>
      </c>
      <c r="C18" s="7">
        <f>C17</f>
        <v>7</v>
      </c>
      <c r="D18" s="7">
        <f t="shared" si="25"/>
        <v>30</v>
      </c>
      <c r="E18" s="7">
        <f t="shared" si="18"/>
        <v>15</v>
      </c>
      <c r="F18" s="7" t="str">
        <f t="shared" si="13"/>
        <v>276</v>
      </c>
      <c r="G18" s="7" t="str">
        <f t="shared" si="0"/>
        <v>14F9</v>
      </c>
      <c r="H18" s="3"/>
      <c r="I18" s="7">
        <v>1</v>
      </c>
      <c r="J18" s="7">
        <f>J17</f>
        <v>7</v>
      </c>
      <c r="K18" s="7">
        <f t="shared" si="26"/>
        <v>30</v>
      </c>
      <c r="L18" s="7">
        <f t="shared" si="19"/>
        <v>15</v>
      </c>
      <c r="M18" s="7" t="str">
        <f t="shared" si="1"/>
        <v>A56</v>
      </c>
      <c r="N18" s="7" t="str">
        <f t="shared" si="2"/>
        <v>1CD9</v>
      </c>
      <c r="O18" s="3"/>
      <c r="P18" s="7">
        <f t="shared" si="14"/>
        <v>2</v>
      </c>
      <c r="Q18" s="7">
        <f>Q17</f>
        <v>7</v>
      </c>
      <c r="R18" s="7">
        <f t="shared" si="27"/>
        <v>30</v>
      </c>
      <c r="S18" s="7">
        <f t="shared" si="20"/>
        <v>15</v>
      </c>
      <c r="T18" s="7" t="str">
        <f t="shared" si="3"/>
        <v>1236</v>
      </c>
      <c r="U18" s="7" t="str">
        <f t="shared" si="4"/>
        <v>24B9</v>
      </c>
      <c r="V18" s="3"/>
      <c r="X18" s="7">
        <f t="shared" si="15"/>
        <v>7</v>
      </c>
      <c r="Y18" s="7">
        <f>Y17</f>
        <v>7</v>
      </c>
      <c r="Z18" s="7">
        <f t="shared" si="28"/>
        <v>30</v>
      </c>
      <c r="AA18" s="7">
        <f t="shared" si="21"/>
        <v>15</v>
      </c>
      <c r="AB18" s="7" t="str">
        <f t="shared" si="5"/>
        <v>3996</v>
      </c>
      <c r="AC18" s="7" t="str">
        <f t="shared" si="6"/>
        <v>4C19</v>
      </c>
      <c r="AD18" s="3"/>
      <c r="AF18" s="7">
        <f t="shared" si="16"/>
        <v>21</v>
      </c>
      <c r="AG18" s="7">
        <f>AG17</f>
        <v>7</v>
      </c>
      <c r="AH18" s="7">
        <f t="shared" si="29"/>
        <v>30</v>
      </c>
      <c r="AI18" s="7">
        <f t="shared" si="22"/>
        <v>15</v>
      </c>
      <c r="AJ18" s="7" t="str">
        <f t="shared" si="7"/>
        <v>A7D6</v>
      </c>
      <c r="AK18" s="7" t="str">
        <f t="shared" si="8"/>
        <v>BA59</v>
      </c>
      <c r="AL18" s="3"/>
      <c r="AM18" s="3"/>
      <c r="AN18" s="7">
        <f t="shared" si="17"/>
        <v>34</v>
      </c>
      <c r="AO18" s="7">
        <f>AO17</f>
        <v>7</v>
      </c>
      <c r="AP18" s="7">
        <f t="shared" si="30"/>
        <v>30</v>
      </c>
      <c r="AQ18" s="7">
        <f t="shared" si="23"/>
        <v>15</v>
      </c>
      <c r="AR18" s="7" t="str">
        <f t="shared" si="9"/>
        <v>10E36</v>
      </c>
      <c r="AS18" s="7" t="str">
        <f t="shared" si="10"/>
        <v>120B9</v>
      </c>
      <c r="AT18" s="3"/>
      <c r="AU18" s="3"/>
      <c r="AV18" s="7">
        <v>60</v>
      </c>
      <c r="AW18" s="7">
        <f>AW17</f>
        <v>7</v>
      </c>
      <c r="AX18" s="7">
        <f t="shared" si="31"/>
        <v>30</v>
      </c>
      <c r="AY18" s="7">
        <f t="shared" si="24"/>
        <v>15</v>
      </c>
      <c r="AZ18" s="7" t="str">
        <f t="shared" si="11"/>
        <v>1DAF6</v>
      </c>
      <c r="BA18" s="7" t="str">
        <f t="shared" si="12"/>
        <v>1ED79</v>
      </c>
      <c r="BB18" s="3"/>
    </row>
    <row r="19" spans="2:54" x14ac:dyDescent="0.25">
      <c r="B19" s="7">
        <v>0</v>
      </c>
      <c r="C19" s="7">
        <f>SUM(C17+1)</f>
        <v>8</v>
      </c>
      <c r="D19" s="7">
        <f t="shared" si="25"/>
        <v>0</v>
      </c>
      <c r="E19" s="7">
        <f t="shared" si="18"/>
        <v>16</v>
      </c>
      <c r="F19" s="7" t="str">
        <f t="shared" si="13"/>
        <v>2A0</v>
      </c>
      <c r="G19" s="7" t="str">
        <f t="shared" si="0"/>
        <v>1523</v>
      </c>
      <c r="H19" s="3"/>
      <c r="I19" s="7">
        <v>1</v>
      </c>
      <c r="J19" s="7">
        <f>SUM(J17+1)</f>
        <v>8</v>
      </c>
      <c r="K19" s="7">
        <f t="shared" si="26"/>
        <v>0</v>
      </c>
      <c r="L19" s="7">
        <f t="shared" si="19"/>
        <v>16</v>
      </c>
      <c r="M19" s="7" t="str">
        <f t="shared" si="1"/>
        <v>A80</v>
      </c>
      <c r="N19" s="7" t="str">
        <f t="shared" si="2"/>
        <v>1D03</v>
      </c>
      <c r="O19" s="3"/>
      <c r="P19" s="7">
        <f t="shared" si="14"/>
        <v>2</v>
      </c>
      <c r="Q19" s="7">
        <f>SUM(Q17+1)</f>
        <v>8</v>
      </c>
      <c r="R19" s="7">
        <f t="shared" si="27"/>
        <v>0</v>
      </c>
      <c r="S19" s="7">
        <f t="shared" si="20"/>
        <v>16</v>
      </c>
      <c r="T19" s="7" t="str">
        <f t="shared" si="3"/>
        <v>1260</v>
      </c>
      <c r="U19" s="7" t="str">
        <f t="shared" si="4"/>
        <v>24E3</v>
      </c>
      <c r="V19" s="3"/>
      <c r="X19" s="7">
        <f t="shared" si="15"/>
        <v>7</v>
      </c>
      <c r="Y19" s="7">
        <f>SUM(Y17+1)</f>
        <v>8</v>
      </c>
      <c r="Z19" s="7">
        <f t="shared" si="28"/>
        <v>0</v>
      </c>
      <c r="AA19" s="7">
        <f t="shared" si="21"/>
        <v>16</v>
      </c>
      <c r="AB19" s="7" t="str">
        <f t="shared" si="5"/>
        <v>39C0</v>
      </c>
      <c r="AC19" s="7" t="str">
        <f t="shared" si="6"/>
        <v>4C43</v>
      </c>
      <c r="AD19" s="3"/>
      <c r="AF19" s="7">
        <f t="shared" si="16"/>
        <v>21</v>
      </c>
      <c r="AG19" s="7">
        <f>SUM(AG17+1)</f>
        <v>8</v>
      </c>
      <c r="AH19" s="7">
        <f t="shared" si="29"/>
        <v>0</v>
      </c>
      <c r="AI19" s="7">
        <f t="shared" si="22"/>
        <v>16</v>
      </c>
      <c r="AJ19" s="7" t="str">
        <f t="shared" si="7"/>
        <v>A800</v>
      </c>
      <c r="AK19" s="7" t="str">
        <f t="shared" si="8"/>
        <v>BA83</v>
      </c>
      <c r="AL19" s="3"/>
      <c r="AM19" s="3"/>
      <c r="AN19" s="7">
        <f t="shared" si="17"/>
        <v>34</v>
      </c>
      <c r="AO19" s="7">
        <f>SUM(AO17+1)</f>
        <v>8</v>
      </c>
      <c r="AP19" s="7">
        <f t="shared" si="30"/>
        <v>0</v>
      </c>
      <c r="AQ19" s="7">
        <f t="shared" si="23"/>
        <v>16</v>
      </c>
      <c r="AR19" s="7" t="str">
        <f t="shared" si="9"/>
        <v>10E60</v>
      </c>
      <c r="AS19" s="7" t="str">
        <f t="shared" si="10"/>
        <v>120E3</v>
      </c>
      <c r="AT19" s="3"/>
      <c r="AU19" s="3"/>
      <c r="AV19" s="7">
        <v>60</v>
      </c>
      <c r="AW19" s="7">
        <f>SUM(AW17+1)</f>
        <v>8</v>
      </c>
      <c r="AX19" s="7">
        <f t="shared" si="31"/>
        <v>0</v>
      </c>
      <c r="AY19" s="7">
        <f t="shared" si="24"/>
        <v>16</v>
      </c>
      <c r="AZ19" s="7" t="str">
        <f t="shared" si="11"/>
        <v>1DB20</v>
      </c>
      <c r="BA19" s="7" t="str">
        <f t="shared" si="12"/>
        <v>1EDA3</v>
      </c>
      <c r="BB19" s="3"/>
    </row>
    <row r="20" spans="2:54" x14ac:dyDescent="0.25">
      <c r="B20" s="7">
        <v>0</v>
      </c>
      <c r="C20" s="7">
        <f>C19</f>
        <v>8</v>
      </c>
      <c r="D20" s="7">
        <f t="shared" si="25"/>
        <v>30</v>
      </c>
      <c r="E20" s="7">
        <f t="shared" si="18"/>
        <v>17</v>
      </c>
      <c r="F20" s="7" t="str">
        <f t="shared" si="13"/>
        <v>2CA</v>
      </c>
      <c r="G20" s="7" t="str">
        <f t="shared" si="0"/>
        <v>154D</v>
      </c>
      <c r="H20" s="3"/>
      <c r="I20" s="7">
        <v>1</v>
      </c>
      <c r="J20" s="7">
        <f>J19</f>
        <v>8</v>
      </c>
      <c r="K20" s="7">
        <f t="shared" si="26"/>
        <v>30</v>
      </c>
      <c r="L20" s="7">
        <f t="shared" si="19"/>
        <v>17</v>
      </c>
      <c r="M20" s="7" t="str">
        <f t="shared" si="1"/>
        <v>AAA</v>
      </c>
      <c r="N20" s="7" t="str">
        <f t="shared" si="2"/>
        <v>1D2D</v>
      </c>
      <c r="O20" s="3"/>
      <c r="P20" s="7">
        <f t="shared" si="14"/>
        <v>2</v>
      </c>
      <c r="Q20" s="7">
        <f>Q19</f>
        <v>8</v>
      </c>
      <c r="R20" s="7">
        <f t="shared" si="27"/>
        <v>30</v>
      </c>
      <c r="S20" s="7">
        <f t="shared" si="20"/>
        <v>17</v>
      </c>
      <c r="T20" s="7" t="str">
        <f t="shared" si="3"/>
        <v>128A</v>
      </c>
      <c r="U20" s="7" t="str">
        <f t="shared" si="4"/>
        <v>250D</v>
      </c>
      <c r="V20" s="3"/>
      <c r="X20" s="7">
        <f t="shared" si="15"/>
        <v>7</v>
      </c>
      <c r="Y20" s="7">
        <f>Y19</f>
        <v>8</v>
      </c>
      <c r="Z20" s="7">
        <f t="shared" si="28"/>
        <v>30</v>
      </c>
      <c r="AA20" s="7">
        <f t="shared" si="21"/>
        <v>17</v>
      </c>
      <c r="AB20" s="7" t="str">
        <f t="shared" si="5"/>
        <v>39EA</v>
      </c>
      <c r="AC20" s="7" t="str">
        <f t="shared" si="6"/>
        <v>4C6D</v>
      </c>
      <c r="AD20" s="3"/>
      <c r="AF20" s="7">
        <f t="shared" si="16"/>
        <v>21</v>
      </c>
      <c r="AG20" s="7">
        <f>AG19</f>
        <v>8</v>
      </c>
      <c r="AH20" s="7">
        <f t="shared" si="29"/>
        <v>30</v>
      </c>
      <c r="AI20" s="7">
        <f t="shared" si="22"/>
        <v>17</v>
      </c>
      <c r="AJ20" s="7" t="str">
        <f t="shared" si="7"/>
        <v>A82A</v>
      </c>
      <c r="AK20" s="7" t="str">
        <f t="shared" si="8"/>
        <v>BAAD</v>
      </c>
      <c r="AL20" s="3"/>
      <c r="AM20" s="3"/>
      <c r="AN20" s="7">
        <f t="shared" si="17"/>
        <v>34</v>
      </c>
      <c r="AO20" s="7">
        <f>AO19</f>
        <v>8</v>
      </c>
      <c r="AP20" s="7">
        <f t="shared" si="30"/>
        <v>30</v>
      </c>
      <c r="AQ20" s="7">
        <f t="shared" si="23"/>
        <v>17</v>
      </c>
      <c r="AR20" s="7" t="str">
        <f t="shared" si="9"/>
        <v>10E8A</v>
      </c>
      <c r="AS20" s="7" t="str">
        <f t="shared" si="10"/>
        <v>1210D</v>
      </c>
      <c r="AT20" s="3"/>
      <c r="AU20" s="3"/>
      <c r="AV20" s="7">
        <v>60</v>
      </c>
      <c r="AW20" s="7">
        <f>AW19</f>
        <v>8</v>
      </c>
      <c r="AX20" s="7">
        <f t="shared" si="31"/>
        <v>30</v>
      </c>
      <c r="AY20" s="7">
        <f t="shared" si="24"/>
        <v>17</v>
      </c>
      <c r="AZ20" s="7" t="str">
        <f t="shared" si="11"/>
        <v>1DB4A</v>
      </c>
      <c r="BA20" s="7" t="str">
        <f t="shared" si="12"/>
        <v>1EDCD</v>
      </c>
      <c r="BB20" s="3"/>
    </row>
    <row r="21" spans="2:54" x14ac:dyDescent="0.25">
      <c r="B21" s="7">
        <v>0</v>
      </c>
      <c r="C21" s="7">
        <f>SUM(C19+1)</f>
        <v>9</v>
      </c>
      <c r="D21" s="7">
        <f t="shared" si="25"/>
        <v>0</v>
      </c>
      <c r="E21" s="7">
        <f t="shared" si="18"/>
        <v>18</v>
      </c>
      <c r="F21" s="7" t="str">
        <f t="shared" si="13"/>
        <v>2F4</v>
      </c>
      <c r="G21" s="7" t="str">
        <f t="shared" si="0"/>
        <v>1577</v>
      </c>
      <c r="H21" s="3"/>
      <c r="I21" s="7">
        <v>1</v>
      </c>
      <c r="J21" s="7">
        <f>SUM(J19+1)</f>
        <v>9</v>
      </c>
      <c r="K21" s="7">
        <f t="shared" si="26"/>
        <v>0</v>
      </c>
      <c r="L21" s="7">
        <f t="shared" si="19"/>
        <v>18</v>
      </c>
      <c r="M21" s="7" t="str">
        <f t="shared" si="1"/>
        <v>AD4</v>
      </c>
      <c r="N21" s="7" t="str">
        <f t="shared" si="2"/>
        <v>1D57</v>
      </c>
      <c r="O21" s="3"/>
      <c r="P21" s="7">
        <f t="shared" si="14"/>
        <v>2</v>
      </c>
      <c r="Q21" s="7">
        <f>SUM(Q19+1)</f>
        <v>9</v>
      </c>
      <c r="R21" s="7">
        <f t="shared" si="27"/>
        <v>0</v>
      </c>
      <c r="S21" s="7">
        <f t="shared" si="20"/>
        <v>18</v>
      </c>
      <c r="T21" s="7" t="str">
        <f t="shared" si="3"/>
        <v>12B4</v>
      </c>
      <c r="U21" s="7" t="str">
        <f t="shared" si="4"/>
        <v>2537</v>
      </c>
      <c r="V21" s="3"/>
      <c r="X21" s="7">
        <f t="shared" si="15"/>
        <v>7</v>
      </c>
      <c r="Y21" s="7">
        <f>SUM(Y19+1)</f>
        <v>9</v>
      </c>
      <c r="Z21" s="7">
        <f t="shared" si="28"/>
        <v>0</v>
      </c>
      <c r="AA21" s="7">
        <f t="shared" si="21"/>
        <v>18</v>
      </c>
      <c r="AB21" s="7" t="str">
        <f t="shared" si="5"/>
        <v>3A14</v>
      </c>
      <c r="AC21" s="7" t="str">
        <f t="shared" si="6"/>
        <v>4C97</v>
      </c>
      <c r="AD21" s="3"/>
      <c r="AF21" s="7">
        <f t="shared" si="16"/>
        <v>21</v>
      </c>
      <c r="AG21" s="7">
        <f>SUM(AG19+1)</f>
        <v>9</v>
      </c>
      <c r="AH21" s="7">
        <f t="shared" si="29"/>
        <v>0</v>
      </c>
      <c r="AI21" s="7">
        <f t="shared" si="22"/>
        <v>18</v>
      </c>
      <c r="AJ21" s="7" t="str">
        <f t="shared" si="7"/>
        <v>A854</v>
      </c>
      <c r="AK21" s="7" t="str">
        <f t="shared" si="8"/>
        <v>BAD7</v>
      </c>
      <c r="AL21" s="3"/>
      <c r="AM21" s="3"/>
      <c r="AN21" s="7">
        <f t="shared" si="17"/>
        <v>34</v>
      </c>
      <c r="AO21" s="7">
        <f>SUM(AO19+1)</f>
        <v>9</v>
      </c>
      <c r="AP21" s="7">
        <f t="shared" si="30"/>
        <v>0</v>
      </c>
      <c r="AQ21" s="7">
        <f t="shared" si="23"/>
        <v>18</v>
      </c>
      <c r="AR21" s="7" t="str">
        <f t="shared" si="9"/>
        <v>10EB4</v>
      </c>
      <c r="AS21" s="7" t="str">
        <f t="shared" si="10"/>
        <v>12137</v>
      </c>
      <c r="AT21" s="3"/>
      <c r="AU21" s="3"/>
      <c r="AV21" s="7">
        <v>60</v>
      </c>
      <c r="AW21" s="7">
        <f>SUM(AW19+1)</f>
        <v>9</v>
      </c>
      <c r="AX21" s="7">
        <f t="shared" si="31"/>
        <v>0</v>
      </c>
      <c r="AY21" s="7">
        <f t="shared" si="24"/>
        <v>18</v>
      </c>
      <c r="AZ21" s="7" t="str">
        <f t="shared" si="11"/>
        <v>1DB74</v>
      </c>
      <c r="BA21" s="7" t="str">
        <f t="shared" si="12"/>
        <v>1EDF7</v>
      </c>
      <c r="BB21" s="3"/>
    </row>
    <row r="22" spans="2:54" x14ac:dyDescent="0.25">
      <c r="B22" s="7">
        <v>0</v>
      </c>
      <c r="C22" s="7">
        <f>C21</f>
        <v>9</v>
      </c>
      <c r="D22" s="7">
        <f t="shared" si="25"/>
        <v>30</v>
      </c>
      <c r="E22" s="7">
        <f t="shared" si="18"/>
        <v>19</v>
      </c>
      <c r="F22" s="7" t="str">
        <f t="shared" si="13"/>
        <v>31E</v>
      </c>
      <c r="G22" s="7" t="str">
        <f t="shared" si="0"/>
        <v>15A1</v>
      </c>
      <c r="H22" s="3"/>
      <c r="I22" s="7">
        <v>1</v>
      </c>
      <c r="J22" s="7">
        <f>J21</f>
        <v>9</v>
      </c>
      <c r="K22" s="7">
        <f t="shared" si="26"/>
        <v>30</v>
      </c>
      <c r="L22" s="7">
        <f t="shared" si="19"/>
        <v>19</v>
      </c>
      <c r="M22" s="7" t="str">
        <f t="shared" si="1"/>
        <v>AFE</v>
      </c>
      <c r="N22" s="7" t="str">
        <f t="shared" si="2"/>
        <v>1D81</v>
      </c>
      <c r="O22" s="3"/>
      <c r="P22" s="7">
        <f t="shared" si="14"/>
        <v>2</v>
      </c>
      <c r="Q22" s="7">
        <f>Q21</f>
        <v>9</v>
      </c>
      <c r="R22" s="7">
        <f t="shared" si="27"/>
        <v>30</v>
      </c>
      <c r="S22" s="7">
        <f t="shared" si="20"/>
        <v>19</v>
      </c>
      <c r="T22" s="7" t="str">
        <f t="shared" si="3"/>
        <v>12DE</v>
      </c>
      <c r="U22" s="7" t="str">
        <f t="shared" si="4"/>
        <v>2561</v>
      </c>
      <c r="V22" s="3"/>
      <c r="X22" s="7">
        <f t="shared" si="15"/>
        <v>7</v>
      </c>
      <c r="Y22" s="7">
        <f>Y21</f>
        <v>9</v>
      </c>
      <c r="Z22" s="7">
        <f t="shared" si="28"/>
        <v>30</v>
      </c>
      <c r="AA22" s="7">
        <f t="shared" si="21"/>
        <v>19</v>
      </c>
      <c r="AB22" s="7" t="str">
        <f t="shared" si="5"/>
        <v>3A3E</v>
      </c>
      <c r="AC22" s="7" t="str">
        <f t="shared" si="6"/>
        <v>4CC1</v>
      </c>
      <c r="AD22" s="3"/>
      <c r="AF22" s="7">
        <f t="shared" si="16"/>
        <v>21</v>
      </c>
      <c r="AG22" s="7">
        <f>AG21</f>
        <v>9</v>
      </c>
      <c r="AH22" s="7">
        <f t="shared" si="29"/>
        <v>30</v>
      </c>
      <c r="AI22" s="7">
        <f t="shared" si="22"/>
        <v>19</v>
      </c>
      <c r="AJ22" s="7" t="str">
        <f t="shared" si="7"/>
        <v>A87E</v>
      </c>
      <c r="AK22" s="7" t="str">
        <f t="shared" si="8"/>
        <v>BB01</v>
      </c>
      <c r="AL22" s="3"/>
      <c r="AM22" s="3"/>
      <c r="AN22" s="7">
        <f t="shared" si="17"/>
        <v>34</v>
      </c>
      <c r="AO22" s="7">
        <f>AO21</f>
        <v>9</v>
      </c>
      <c r="AP22" s="7">
        <f t="shared" si="30"/>
        <v>30</v>
      </c>
      <c r="AQ22" s="7">
        <f t="shared" si="23"/>
        <v>19</v>
      </c>
      <c r="AR22" s="7" t="str">
        <f t="shared" si="9"/>
        <v>10EDE</v>
      </c>
      <c r="AS22" s="7" t="str">
        <f t="shared" si="10"/>
        <v>12161</v>
      </c>
      <c r="AT22" s="3"/>
      <c r="AU22" s="3"/>
      <c r="AV22" s="7">
        <v>60</v>
      </c>
      <c r="AW22" s="7">
        <f>AW21</f>
        <v>9</v>
      </c>
      <c r="AX22" s="7">
        <f t="shared" si="31"/>
        <v>30</v>
      </c>
      <c r="AY22" s="7">
        <f t="shared" si="24"/>
        <v>19</v>
      </c>
      <c r="AZ22" s="7" t="str">
        <f t="shared" si="11"/>
        <v>1DB9E</v>
      </c>
      <c r="BA22" s="7" t="str">
        <f t="shared" si="12"/>
        <v>1EE21</v>
      </c>
      <c r="BB22" s="3"/>
    </row>
    <row r="23" spans="2:54" x14ac:dyDescent="0.25">
      <c r="B23" s="7">
        <v>0</v>
      </c>
      <c r="C23" s="7">
        <f>SUM(C21+1)</f>
        <v>10</v>
      </c>
      <c r="D23" s="7">
        <f t="shared" si="25"/>
        <v>0</v>
      </c>
      <c r="E23" s="7">
        <f t="shared" si="18"/>
        <v>20</v>
      </c>
      <c r="F23" s="7" t="str">
        <f t="shared" si="13"/>
        <v>348</v>
      </c>
      <c r="G23" s="7" t="str">
        <f t="shared" si="0"/>
        <v>15CB</v>
      </c>
      <c r="H23" s="3"/>
      <c r="I23" s="7">
        <v>1</v>
      </c>
      <c r="J23" s="7">
        <f>SUM(J21+1)</f>
        <v>10</v>
      </c>
      <c r="K23" s="7">
        <f t="shared" si="26"/>
        <v>0</v>
      </c>
      <c r="L23" s="7">
        <f t="shared" si="19"/>
        <v>20</v>
      </c>
      <c r="M23" s="7" t="str">
        <f t="shared" si="1"/>
        <v>B28</v>
      </c>
      <c r="N23" s="7" t="str">
        <f t="shared" si="2"/>
        <v>1DAB</v>
      </c>
      <c r="O23" s="3"/>
      <c r="P23" s="7">
        <f t="shared" si="14"/>
        <v>2</v>
      </c>
      <c r="Q23" s="7">
        <f>SUM(Q21+1)</f>
        <v>10</v>
      </c>
      <c r="R23" s="7">
        <f t="shared" si="27"/>
        <v>0</v>
      </c>
      <c r="S23" s="7">
        <f t="shared" si="20"/>
        <v>20</v>
      </c>
      <c r="T23" s="7" t="str">
        <f t="shared" si="3"/>
        <v>1308</v>
      </c>
      <c r="U23" s="7" t="str">
        <f t="shared" si="4"/>
        <v>258B</v>
      </c>
      <c r="V23" s="3"/>
      <c r="X23" s="7">
        <f t="shared" si="15"/>
        <v>7</v>
      </c>
      <c r="Y23" s="7">
        <f>SUM(Y21+1)</f>
        <v>10</v>
      </c>
      <c r="Z23" s="7">
        <f t="shared" si="28"/>
        <v>0</v>
      </c>
      <c r="AA23" s="7">
        <f t="shared" si="21"/>
        <v>20</v>
      </c>
      <c r="AB23" s="7" t="str">
        <f t="shared" si="5"/>
        <v>3A68</v>
      </c>
      <c r="AC23" s="7" t="str">
        <f t="shared" si="6"/>
        <v>4CEB</v>
      </c>
      <c r="AD23" s="3"/>
      <c r="AF23" s="7">
        <f t="shared" si="16"/>
        <v>21</v>
      </c>
      <c r="AG23" s="7">
        <f>SUM(AG21+1)</f>
        <v>10</v>
      </c>
      <c r="AH23" s="7">
        <f t="shared" si="29"/>
        <v>0</v>
      </c>
      <c r="AI23" s="7">
        <f t="shared" si="22"/>
        <v>20</v>
      </c>
      <c r="AJ23" s="7" t="str">
        <f t="shared" si="7"/>
        <v>A8A8</v>
      </c>
      <c r="AK23" s="7" t="str">
        <f t="shared" si="8"/>
        <v>BB2B</v>
      </c>
      <c r="AL23" s="3"/>
      <c r="AM23" s="3"/>
      <c r="AN23" s="7">
        <f t="shared" si="17"/>
        <v>34</v>
      </c>
      <c r="AO23" s="7">
        <f>SUM(AO21+1)</f>
        <v>10</v>
      </c>
      <c r="AP23" s="7">
        <f t="shared" si="30"/>
        <v>0</v>
      </c>
      <c r="AQ23" s="7">
        <f t="shared" si="23"/>
        <v>20</v>
      </c>
      <c r="AR23" s="7" t="str">
        <f t="shared" si="9"/>
        <v>10F08</v>
      </c>
      <c r="AS23" s="7" t="str">
        <f t="shared" si="10"/>
        <v>1218B</v>
      </c>
      <c r="AT23" s="3"/>
      <c r="AU23" s="3"/>
      <c r="AV23" s="7">
        <v>60</v>
      </c>
      <c r="AW23" s="7">
        <f>SUM(AW21+1)</f>
        <v>10</v>
      </c>
      <c r="AX23" s="7">
        <f t="shared" si="31"/>
        <v>0</v>
      </c>
      <c r="AY23" s="7">
        <f t="shared" si="24"/>
        <v>20</v>
      </c>
      <c r="AZ23" s="7" t="str">
        <f t="shared" si="11"/>
        <v>1DBC8</v>
      </c>
      <c r="BA23" s="7" t="str">
        <f t="shared" si="12"/>
        <v>1EE4B</v>
      </c>
      <c r="BB23" s="3"/>
    </row>
    <row r="24" spans="2:54" x14ac:dyDescent="0.25">
      <c r="B24" s="7">
        <v>0</v>
      </c>
      <c r="C24" s="7">
        <f>C23</f>
        <v>10</v>
      </c>
      <c r="D24" s="7">
        <f t="shared" si="25"/>
        <v>30</v>
      </c>
      <c r="E24" s="7">
        <f t="shared" si="18"/>
        <v>21</v>
      </c>
      <c r="F24" s="7" t="str">
        <f t="shared" si="13"/>
        <v>372</v>
      </c>
      <c r="G24" s="7" t="str">
        <f t="shared" si="0"/>
        <v>15F5</v>
      </c>
      <c r="H24" s="3"/>
      <c r="I24" s="7">
        <v>1</v>
      </c>
      <c r="J24" s="7">
        <f>J23</f>
        <v>10</v>
      </c>
      <c r="K24" s="7">
        <f t="shared" si="26"/>
        <v>30</v>
      </c>
      <c r="L24" s="7">
        <f t="shared" si="19"/>
        <v>21</v>
      </c>
      <c r="M24" s="7" t="str">
        <f t="shared" si="1"/>
        <v>B52</v>
      </c>
      <c r="N24" s="7" t="str">
        <f t="shared" si="2"/>
        <v>1DD5</v>
      </c>
      <c r="O24" s="3"/>
      <c r="P24" s="7">
        <f t="shared" si="14"/>
        <v>2</v>
      </c>
      <c r="Q24" s="7">
        <f>Q23</f>
        <v>10</v>
      </c>
      <c r="R24" s="7">
        <f t="shared" si="27"/>
        <v>30</v>
      </c>
      <c r="S24" s="7">
        <f t="shared" si="20"/>
        <v>21</v>
      </c>
      <c r="T24" s="7" t="str">
        <f t="shared" si="3"/>
        <v>1332</v>
      </c>
      <c r="U24" s="7" t="str">
        <f t="shared" si="4"/>
        <v>25B5</v>
      </c>
      <c r="V24" s="3"/>
      <c r="X24" s="7">
        <f t="shared" si="15"/>
        <v>7</v>
      </c>
      <c r="Y24" s="7">
        <f>Y23</f>
        <v>10</v>
      </c>
      <c r="Z24" s="7">
        <f t="shared" si="28"/>
        <v>30</v>
      </c>
      <c r="AA24" s="7">
        <f t="shared" si="21"/>
        <v>21</v>
      </c>
      <c r="AB24" s="7" t="str">
        <f t="shared" si="5"/>
        <v>3A92</v>
      </c>
      <c r="AC24" s="7" t="str">
        <f t="shared" si="6"/>
        <v>4D15</v>
      </c>
      <c r="AD24" s="3"/>
      <c r="AF24" s="7">
        <f t="shared" si="16"/>
        <v>21</v>
      </c>
      <c r="AG24" s="7">
        <f>AG23</f>
        <v>10</v>
      </c>
      <c r="AH24" s="7">
        <f t="shared" si="29"/>
        <v>30</v>
      </c>
      <c r="AI24" s="7">
        <f t="shared" si="22"/>
        <v>21</v>
      </c>
      <c r="AJ24" s="7" t="str">
        <f t="shared" si="7"/>
        <v>A8D2</v>
      </c>
      <c r="AK24" s="7" t="str">
        <f t="shared" si="8"/>
        <v>BB55</v>
      </c>
      <c r="AL24" s="3"/>
      <c r="AM24" s="3"/>
      <c r="AN24" s="7">
        <f t="shared" si="17"/>
        <v>34</v>
      </c>
      <c r="AO24" s="7">
        <f>AO23</f>
        <v>10</v>
      </c>
      <c r="AP24" s="7">
        <f t="shared" si="30"/>
        <v>30</v>
      </c>
      <c r="AQ24" s="7">
        <f t="shared" si="23"/>
        <v>21</v>
      </c>
      <c r="AR24" s="7" t="str">
        <f t="shared" si="9"/>
        <v>10F32</v>
      </c>
      <c r="AS24" s="7" t="str">
        <f t="shared" si="10"/>
        <v>121B5</v>
      </c>
      <c r="AT24" s="3"/>
      <c r="AU24" s="3"/>
      <c r="AV24" s="7">
        <f t="shared" ref="AV24:AV50" si="32">SUM(AV23+0)</f>
        <v>60</v>
      </c>
      <c r="AW24" s="7">
        <f>AW23</f>
        <v>10</v>
      </c>
      <c r="AX24" s="7">
        <f t="shared" si="31"/>
        <v>30</v>
      </c>
      <c r="AY24" s="7">
        <f t="shared" si="24"/>
        <v>21</v>
      </c>
      <c r="AZ24" s="7" t="str">
        <f t="shared" si="11"/>
        <v>1DBF2</v>
      </c>
      <c r="BA24" s="7" t="str">
        <f t="shared" si="12"/>
        <v>1EE75</v>
      </c>
      <c r="BB24" s="3"/>
    </row>
    <row r="25" spans="2:54" x14ac:dyDescent="0.25">
      <c r="B25" s="7">
        <v>0</v>
      </c>
      <c r="C25" s="7">
        <f>SUM(C23+1)</f>
        <v>11</v>
      </c>
      <c r="D25" s="7">
        <f t="shared" si="25"/>
        <v>0</v>
      </c>
      <c r="E25" s="7">
        <f t="shared" si="18"/>
        <v>22</v>
      </c>
      <c r="F25" s="7" t="str">
        <f t="shared" si="13"/>
        <v>39C</v>
      </c>
      <c r="G25" s="7" t="str">
        <f t="shared" si="0"/>
        <v>161F</v>
      </c>
      <c r="H25" s="3"/>
      <c r="I25" s="7">
        <v>1</v>
      </c>
      <c r="J25" s="7">
        <f>SUM(J23+1)</f>
        <v>11</v>
      </c>
      <c r="K25" s="7">
        <f t="shared" si="26"/>
        <v>0</v>
      </c>
      <c r="L25" s="7">
        <f t="shared" si="19"/>
        <v>22</v>
      </c>
      <c r="M25" s="7" t="str">
        <f t="shared" si="1"/>
        <v>B7C</v>
      </c>
      <c r="N25" s="7" t="str">
        <f t="shared" si="2"/>
        <v>1DFF</v>
      </c>
      <c r="O25" s="3"/>
      <c r="P25" s="7">
        <f t="shared" si="14"/>
        <v>2</v>
      </c>
      <c r="Q25" s="7">
        <f>SUM(Q23+1)</f>
        <v>11</v>
      </c>
      <c r="R25" s="7">
        <f t="shared" si="27"/>
        <v>0</v>
      </c>
      <c r="S25" s="7">
        <f t="shared" si="20"/>
        <v>22</v>
      </c>
      <c r="T25" s="7" t="str">
        <f t="shared" si="3"/>
        <v>135C</v>
      </c>
      <c r="U25" s="7" t="str">
        <f t="shared" si="4"/>
        <v>25DF</v>
      </c>
      <c r="V25" s="3"/>
      <c r="X25" s="7">
        <f t="shared" si="15"/>
        <v>7</v>
      </c>
      <c r="Y25" s="7">
        <f>SUM(Y23+1)</f>
        <v>11</v>
      </c>
      <c r="Z25" s="7">
        <f t="shared" si="28"/>
        <v>0</v>
      </c>
      <c r="AA25" s="7">
        <f t="shared" si="21"/>
        <v>22</v>
      </c>
      <c r="AB25" s="7" t="str">
        <f t="shared" si="5"/>
        <v>3ABC</v>
      </c>
      <c r="AC25" s="7" t="str">
        <f t="shared" si="6"/>
        <v>4D3F</v>
      </c>
      <c r="AD25" s="3"/>
      <c r="AF25" s="7">
        <f t="shared" si="16"/>
        <v>21</v>
      </c>
      <c r="AG25" s="7">
        <f>SUM(AG23+1)</f>
        <v>11</v>
      </c>
      <c r="AH25" s="7">
        <f t="shared" si="29"/>
        <v>0</v>
      </c>
      <c r="AI25" s="7">
        <f t="shared" si="22"/>
        <v>22</v>
      </c>
      <c r="AJ25" s="7" t="str">
        <f t="shared" si="7"/>
        <v>A8FC</v>
      </c>
      <c r="AK25" s="7" t="str">
        <f t="shared" si="8"/>
        <v>BB7F</v>
      </c>
      <c r="AL25" s="3"/>
      <c r="AM25" s="3"/>
      <c r="AN25" s="7">
        <f t="shared" si="17"/>
        <v>34</v>
      </c>
      <c r="AO25" s="7">
        <f>SUM(AO23+1)</f>
        <v>11</v>
      </c>
      <c r="AP25" s="7">
        <f t="shared" si="30"/>
        <v>0</v>
      </c>
      <c r="AQ25" s="7">
        <f t="shared" si="23"/>
        <v>22</v>
      </c>
      <c r="AR25" s="7" t="str">
        <f t="shared" si="9"/>
        <v>10F5C</v>
      </c>
      <c r="AS25" s="7" t="str">
        <f t="shared" si="10"/>
        <v>121DF</v>
      </c>
      <c r="AT25" s="3"/>
      <c r="AU25" s="3"/>
      <c r="AV25" s="7">
        <f t="shared" si="32"/>
        <v>60</v>
      </c>
      <c r="AW25" s="7">
        <f>SUM(AW23+1)</f>
        <v>11</v>
      </c>
      <c r="AX25" s="7">
        <f t="shared" si="31"/>
        <v>0</v>
      </c>
      <c r="AY25" s="7">
        <f t="shared" si="24"/>
        <v>22</v>
      </c>
      <c r="AZ25" s="7" t="str">
        <f t="shared" si="11"/>
        <v>1DC1C</v>
      </c>
      <c r="BA25" s="7" t="str">
        <f t="shared" si="12"/>
        <v>1EE9F</v>
      </c>
      <c r="BB25" s="3"/>
    </row>
    <row r="26" spans="2:54" x14ac:dyDescent="0.25">
      <c r="B26" s="7">
        <v>0</v>
      </c>
      <c r="C26" s="7">
        <f>C25</f>
        <v>11</v>
      </c>
      <c r="D26" s="7">
        <f t="shared" si="25"/>
        <v>30</v>
      </c>
      <c r="E26" s="7">
        <f t="shared" si="18"/>
        <v>23</v>
      </c>
      <c r="F26" s="7" t="str">
        <f t="shared" si="13"/>
        <v>3C6</v>
      </c>
      <c r="G26" s="7" t="str">
        <f t="shared" si="0"/>
        <v>1649</v>
      </c>
      <c r="H26" s="3"/>
      <c r="I26" s="7">
        <v>1</v>
      </c>
      <c r="J26" s="7">
        <f>J25</f>
        <v>11</v>
      </c>
      <c r="K26" s="7">
        <f t="shared" si="26"/>
        <v>30</v>
      </c>
      <c r="L26" s="7">
        <f t="shared" si="19"/>
        <v>23</v>
      </c>
      <c r="M26" s="7" t="str">
        <f t="shared" si="1"/>
        <v>BA6</v>
      </c>
      <c r="N26" s="7" t="str">
        <f t="shared" si="2"/>
        <v>1E29</v>
      </c>
      <c r="O26" s="3"/>
      <c r="P26" s="7">
        <f t="shared" si="14"/>
        <v>2</v>
      </c>
      <c r="Q26" s="7">
        <f>Q25</f>
        <v>11</v>
      </c>
      <c r="R26" s="7">
        <f t="shared" si="27"/>
        <v>30</v>
      </c>
      <c r="S26" s="7">
        <f t="shared" si="20"/>
        <v>23</v>
      </c>
      <c r="T26" s="7" t="str">
        <f t="shared" si="3"/>
        <v>1386</v>
      </c>
      <c r="U26" s="7" t="str">
        <f t="shared" si="4"/>
        <v>2609</v>
      </c>
      <c r="V26" s="3"/>
      <c r="X26" s="7">
        <f t="shared" si="15"/>
        <v>7</v>
      </c>
      <c r="Y26" s="7">
        <f>Y25</f>
        <v>11</v>
      </c>
      <c r="Z26" s="7">
        <f t="shared" si="28"/>
        <v>30</v>
      </c>
      <c r="AA26" s="7">
        <f t="shared" si="21"/>
        <v>23</v>
      </c>
      <c r="AB26" s="7" t="str">
        <f t="shared" si="5"/>
        <v>3AE6</v>
      </c>
      <c r="AC26" s="7" t="str">
        <f t="shared" si="6"/>
        <v>4D69</v>
      </c>
      <c r="AD26" s="3"/>
      <c r="AF26" s="7">
        <f t="shared" si="16"/>
        <v>21</v>
      </c>
      <c r="AG26" s="7">
        <f>AG25</f>
        <v>11</v>
      </c>
      <c r="AH26" s="7">
        <f t="shared" si="29"/>
        <v>30</v>
      </c>
      <c r="AI26" s="7">
        <f t="shared" si="22"/>
        <v>23</v>
      </c>
      <c r="AJ26" s="7" t="str">
        <f t="shared" si="7"/>
        <v>A926</v>
      </c>
      <c r="AK26" s="7" t="str">
        <f t="shared" si="8"/>
        <v>BBA9</v>
      </c>
      <c r="AL26" s="3"/>
      <c r="AM26" s="3"/>
      <c r="AN26" s="7">
        <f t="shared" si="17"/>
        <v>34</v>
      </c>
      <c r="AO26" s="7">
        <f>AO25</f>
        <v>11</v>
      </c>
      <c r="AP26" s="7">
        <f t="shared" si="30"/>
        <v>30</v>
      </c>
      <c r="AQ26" s="7">
        <f t="shared" si="23"/>
        <v>23</v>
      </c>
      <c r="AR26" s="7" t="str">
        <f t="shared" si="9"/>
        <v>10F86</v>
      </c>
      <c r="AS26" s="7" t="str">
        <f t="shared" si="10"/>
        <v>12209</v>
      </c>
      <c r="AT26" s="3"/>
      <c r="AU26" s="3"/>
      <c r="AV26" s="7">
        <f t="shared" si="32"/>
        <v>60</v>
      </c>
      <c r="AW26" s="7">
        <f>AW25</f>
        <v>11</v>
      </c>
      <c r="AX26" s="7">
        <f t="shared" si="31"/>
        <v>30</v>
      </c>
      <c r="AY26" s="7">
        <f t="shared" si="24"/>
        <v>23</v>
      </c>
      <c r="AZ26" s="7" t="str">
        <f t="shared" si="11"/>
        <v>1DC46</v>
      </c>
      <c r="BA26" s="7" t="str">
        <f t="shared" si="12"/>
        <v>1EEC9</v>
      </c>
      <c r="BB26" s="3"/>
    </row>
    <row r="27" spans="2:54" x14ac:dyDescent="0.25">
      <c r="B27" s="7">
        <v>0</v>
      </c>
      <c r="C27" s="7">
        <f>SUM(C25+1)</f>
        <v>12</v>
      </c>
      <c r="D27" s="7">
        <f t="shared" si="25"/>
        <v>0</v>
      </c>
      <c r="E27" s="7">
        <f t="shared" si="18"/>
        <v>24</v>
      </c>
      <c r="F27" s="7" t="str">
        <f t="shared" si="13"/>
        <v>3F0</v>
      </c>
      <c r="G27" s="7" t="str">
        <f t="shared" si="0"/>
        <v>1673</v>
      </c>
      <c r="H27" s="3"/>
      <c r="I27" s="7">
        <v>1</v>
      </c>
      <c r="J27" s="7">
        <f>SUM(J25+1)</f>
        <v>12</v>
      </c>
      <c r="K27" s="7">
        <f t="shared" si="26"/>
        <v>0</v>
      </c>
      <c r="L27" s="7">
        <f t="shared" si="19"/>
        <v>24</v>
      </c>
      <c r="M27" s="7" t="str">
        <f t="shared" si="1"/>
        <v>BD0</v>
      </c>
      <c r="N27" s="7" t="str">
        <f t="shared" si="2"/>
        <v>1E53</v>
      </c>
      <c r="O27" s="3"/>
      <c r="P27" s="7">
        <f t="shared" si="14"/>
        <v>2</v>
      </c>
      <c r="Q27" s="7">
        <f>SUM(Q25+1)</f>
        <v>12</v>
      </c>
      <c r="R27" s="7">
        <f t="shared" si="27"/>
        <v>0</v>
      </c>
      <c r="S27" s="7">
        <f t="shared" si="20"/>
        <v>24</v>
      </c>
      <c r="T27" s="7" t="str">
        <f t="shared" si="3"/>
        <v>13B0</v>
      </c>
      <c r="U27" s="7" t="str">
        <f t="shared" si="4"/>
        <v>2633</v>
      </c>
      <c r="V27" s="3"/>
      <c r="X27" s="7">
        <f t="shared" si="15"/>
        <v>7</v>
      </c>
      <c r="Y27" s="7">
        <f>SUM(Y25+1)</f>
        <v>12</v>
      </c>
      <c r="Z27" s="7">
        <f t="shared" si="28"/>
        <v>0</v>
      </c>
      <c r="AA27" s="7">
        <f t="shared" si="21"/>
        <v>24</v>
      </c>
      <c r="AB27" s="7" t="str">
        <f t="shared" si="5"/>
        <v>3B10</v>
      </c>
      <c r="AC27" s="7" t="str">
        <f t="shared" si="6"/>
        <v>4D93</v>
      </c>
      <c r="AD27" s="3"/>
      <c r="AF27" s="7">
        <f t="shared" si="16"/>
        <v>21</v>
      </c>
      <c r="AG27" s="7">
        <f>SUM(AG25+1)</f>
        <v>12</v>
      </c>
      <c r="AH27" s="7">
        <f t="shared" si="29"/>
        <v>0</v>
      </c>
      <c r="AI27" s="7">
        <f t="shared" si="22"/>
        <v>24</v>
      </c>
      <c r="AJ27" s="7" t="str">
        <f t="shared" si="7"/>
        <v>A950</v>
      </c>
      <c r="AK27" s="7" t="str">
        <f t="shared" si="8"/>
        <v>BBD3</v>
      </c>
      <c r="AL27" s="3"/>
      <c r="AM27" s="3"/>
      <c r="AN27" s="7">
        <f t="shared" si="17"/>
        <v>34</v>
      </c>
      <c r="AO27" s="7">
        <f>SUM(AO25+1)</f>
        <v>12</v>
      </c>
      <c r="AP27" s="7">
        <f t="shared" si="30"/>
        <v>0</v>
      </c>
      <c r="AQ27" s="7">
        <f t="shared" si="23"/>
        <v>24</v>
      </c>
      <c r="AR27" s="7" t="str">
        <f t="shared" si="9"/>
        <v>10FB0</v>
      </c>
      <c r="AS27" s="7" t="str">
        <f t="shared" si="10"/>
        <v>12233</v>
      </c>
      <c r="AT27" s="3"/>
      <c r="AU27" s="3"/>
      <c r="AV27" s="7">
        <f t="shared" si="32"/>
        <v>60</v>
      </c>
      <c r="AW27" s="7">
        <f>SUM(AW25+1)</f>
        <v>12</v>
      </c>
      <c r="AX27" s="7">
        <f t="shared" si="31"/>
        <v>0</v>
      </c>
      <c r="AY27" s="7">
        <f t="shared" si="24"/>
        <v>24</v>
      </c>
      <c r="AZ27" s="7" t="str">
        <f t="shared" si="11"/>
        <v>1DC70</v>
      </c>
      <c r="BA27" s="7" t="str">
        <f t="shared" si="12"/>
        <v>1EEF3</v>
      </c>
      <c r="BB27" s="3"/>
    </row>
    <row r="28" spans="2:54" x14ac:dyDescent="0.25">
      <c r="B28" s="7">
        <v>0</v>
      </c>
      <c r="C28" s="7">
        <f>C27</f>
        <v>12</v>
      </c>
      <c r="D28" s="7">
        <f t="shared" si="25"/>
        <v>30</v>
      </c>
      <c r="E28" s="7">
        <f t="shared" si="18"/>
        <v>25</v>
      </c>
      <c r="F28" s="7" t="str">
        <f t="shared" si="13"/>
        <v>41A</v>
      </c>
      <c r="G28" s="7" t="str">
        <f t="shared" si="0"/>
        <v>169D</v>
      </c>
      <c r="H28" s="3"/>
      <c r="I28" s="7">
        <v>1</v>
      </c>
      <c r="J28" s="7">
        <f>J27</f>
        <v>12</v>
      </c>
      <c r="K28" s="7">
        <f t="shared" si="26"/>
        <v>30</v>
      </c>
      <c r="L28" s="7">
        <f t="shared" si="19"/>
        <v>25</v>
      </c>
      <c r="M28" s="7" t="str">
        <f t="shared" si="1"/>
        <v>BFA</v>
      </c>
      <c r="N28" s="7" t="str">
        <f t="shared" si="2"/>
        <v>1E7D</v>
      </c>
      <c r="O28" s="3"/>
      <c r="P28" s="7">
        <f t="shared" si="14"/>
        <v>2</v>
      </c>
      <c r="Q28" s="7">
        <f>Q27</f>
        <v>12</v>
      </c>
      <c r="R28" s="7">
        <f t="shared" si="27"/>
        <v>30</v>
      </c>
      <c r="S28" s="7">
        <f t="shared" si="20"/>
        <v>25</v>
      </c>
      <c r="T28" s="7" t="str">
        <f t="shared" si="3"/>
        <v>13DA</v>
      </c>
      <c r="U28" s="7" t="str">
        <f t="shared" si="4"/>
        <v>265D</v>
      </c>
      <c r="V28" s="3"/>
      <c r="X28" s="7">
        <f t="shared" si="15"/>
        <v>7</v>
      </c>
      <c r="Y28" s="7">
        <f>Y27</f>
        <v>12</v>
      </c>
      <c r="Z28" s="7">
        <f t="shared" si="28"/>
        <v>30</v>
      </c>
      <c r="AA28" s="7">
        <f t="shared" si="21"/>
        <v>25</v>
      </c>
      <c r="AB28" s="7" t="str">
        <f t="shared" si="5"/>
        <v>3B3A</v>
      </c>
      <c r="AC28" s="7" t="str">
        <f t="shared" si="6"/>
        <v>4DBD</v>
      </c>
      <c r="AD28" s="3"/>
      <c r="AF28" s="7">
        <f t="shared" si="16"/>
        <v>21</v>
      </c>
      <c r="AG28" s="7">
        <f>AG27</f>
        <v>12</v>
      </c>
      <c r="AH28" s="7">
        <f t="shared" si="29"/>
        <v>30</v>
      </c>
      <c r="AI28" s="7">
        <f t="shared" si="22"/>
        <v>25</v>
      </c>
      <c r="AJ28" s="7" t="str">
        <f t="shared" si="7"/>
        <v>A97A</v>
      </c>
      <c r="AK28" s="7" t="str">
        <f t="shared" si="8"/>
        <v>BBFD</v>
      </c>
      <c r="AL28" s="3"/>
      <c r="AM28" s="3"/>
      <c r="AN28" s="7">
        <f t="shared" si="17"/>
        <v>34</v>
      </c>
      <c r="AO28" s="7">
        <f>AO27</f>
        <v>12</v>
      </c>
      <c r="AP28" s="7">
        <f t="shared" si="30"/>
        <v>30</v>
      </c>
      <c r="AQ28" s="7">
        <f t="shared" si="23"/>
        <v>25</v>
      </c>
      <c r="AR28" s="7" t="str">
        <f t="shared" si="9"/>
        <v>10FDA</v>
      </c>
      <c r="AS28" s="7" t="str">
        <f t="shared" si="10"/>
        <v>1225D</v>
      </c>
      <c r="AT28" s="3"/>
      <c r="AU28" s="3"/>
      <c r="AV28" s="7">
        <f t="shared" si="32"/>
        <v>60</v>
      </c>
      <c r="AW28" s="7">
        <f>AW27</f>
        <v>12</v>
      </c>
      <c r="AX28" s="7">
        <f t="shared" si="31"/>
        <v>30</v>
      </c>
      <c r="AY28" s="7">
        <f t="shared" si="24"/>
        <v>25</v>
      </c>
      <c r="AZ28" s="7" t="str">
        <f t="shared" si="11"/>
        <v>1DC9A</v>
      </c>
      <c r="BA28" s="7" t="str">
        <f t="shared" si="12"/>
        <v>1EF1D</v>
      </c>
      <c r="BB28" s="3"/>
    </row>
    <row r="29" spans="2:54" x14ac:dyDescent="0.25">
      <c r="B29" s="7">
        <v>0</v>
      </c>
      <c r="C29" s="7">
        <f>SUM(C27+1)</f>
        <v>13</v>
      </c>
      <c r="D29" s="7">
        <f t="shared" si="25"/>
        <v>0</v>
      </c>
      <c r="E29" s="7">
        <f t="shared" si="18"/>
        <v>26</v>
      </c>
      <c r="F29" s="7" t="str">
        <f t="shared" si="13"/>
        <v>444</v>
      </c>
      <c r="G29" s="7" t="str">
        <f t="shared" si="0"/>
        <v>16C7</v>
      </c>
      <c r="H29" s="3"/>
      <c r="I29" s="7">
        <v>1</v>
      </c>
      <c r="J29" s="7">
        <f>SUM(J27+1)</f>
        <v>13</v>
      </c>
      <c r="K29" s="7">
        <f t="shared" si="26"/>
        <v>0</v>
      </c>
      <c r="L29" s="7">
        <f t="shared" si="19"/>
        <v>26</v>
      </c>
      <c r="M29" s="7" t="str">
        <f t="shared" si="1"/>
        <v>C24</v>
      </c>
      <c r="N29" s="7" t="str">
        <f t="shared" si="2"/>
        <v>1EA7</v>
      </c>
      <c r="O29" s="3"/>
      <c r="P29" s="7">
        <f t="shared" si="14"/>
        <v>2</v>
      </c>
      <c r="Q29" s="7">
        <f>SUM(Q27+1)</f>
        <v>13</v>
      </c>
      <c r="R29" s="7">
        <f t="shared" si="27"/>
        <v>0</v>
      </c>
      <c r="S29" s="7">
        <f t="shared" si="20"/>
        <v>26</v>
      </c>
      <c r="T29" s="7" t="str">
        <f t="shared" si="3"/>
        <v>1404</v>
      </c>
      <c r="U29" s="7" t="str">
        <f t="shared" si="4"/>
        <v>2687</v>
      </c>
      <c r="V29" s="3"/>
      <c r="X29" s="7">
        <f t="shared" si="15"/>
        <v>7</v>
      </c>
      <c r="Y29" s="7">
        <f>SUM(Y27+1)</f>
        <v>13</v>
      </c>
      <c r="Z29" s="7">
        <f t="shared" si="28"/>
        <v>0</v>
      </c>
      <c r="AA29" s="7">
        <f t="shared" si="21"/>
        <v>26</v>
      </c>
      <c r="AB29" s="7" t="str">
        <f t="shared" si="5"/>
        <v>3B64</v>
      </c>
      <c r="AC29" s="7" t="str">
        <f t="shared" si="6"/>
        <v>4DE7</v>
      </c>
      <c r="AD29" s="3"/>
      <c r="AF29" s="7">
        <f t="shared" si="16"/>
        <v>21</v>
      </c>
      <c r="AG29" s="7">
        <f>SUM(AG27+1)</f>
        <v>13</v>
      </c>
      <c r="AH29" s="7">
        <f t="shared" si="29"/>
        <v>0</v>
      </c>
      <c r="AI29" s="7">
        <f t="shared" si="22"/>
        <v>26</v>
      </c>
      <c r="AJ29" s="7" t="str">
        <f t="shared" si="7"/>
        <v>A9A4</v>
      </c>
      <c r="AK29" s="7" t="str">
        <f t="shared" si="8"/>
        <v>BC27</v>
      </c>
      <c r="AL29" s="3"/>
      <c r="AM29" s="3"/>
      <c r="AN29" s="7">
        <f t="shared" si="17"/>
        <v>34</v>
      </c>
      <c r="AO29" s="7">
        <f>SUM(AO27+1)</f>
        <v>13</v>
      </c>
      <c r="AP29" s="7">
        <f t="shared" si="30"/>
        <v>0</v>
      </c>
      <c r="AQ29" s="7">
        <f t="shared" si="23"/>
        <v>26</v>
      </c>
      <c r="AR29" s="7" t="str">
        <f t="shared" si="9"/>
        <v>11004</v>
      </c>
      <c r="AS29" s="7" t="str">
        <f t="shared" si="10"/>
        <v>12287</v>
      </c>
      <c r="AT29" s="3"/>
      <c r="AU29" s="3"/>
      <c r="AV29" s="7">
        <f t="shared" si="32"/>
        <v>60</v>
      </c>
      <c r="AW29" s="7">
        <f>SUM(AW27+1)</f>
        <v>13</v>
      </c>
      <c r="AX29" s="7">
        <f t="shared" si="31"/>
        <v>0</v>
      </c>
      <c r="AY29" s="7">
        <f t="shared" si="24"/>
        <v>26</v>
      </c>
      <c r="AZ29" s="7" t="str">
        <f t="shared" si="11"/>
        <v>1DCC4</v>
      </c>
      <c r="BA29" s="7" t="str">
        <f t="shared" si="12"/>
        <v>1EF47</v>
      </c>
      <c r="BB29" s="3"/>
    </row>
    <row r="30" spans="2:54" x14ac:dyDescent="0.25">
      <c r="B30" s="7">
        <v>0</v>
      </c>
      <c r="C30" s="7">
        <f>C29</f>
        <v>13</v>
      </c>
      <c r="D30" s="7">
        <f t="shared" si="25"/>
        <v>30</v>
      </c>
      <c r="E30" s="7">
        <f t="shared" si="18"/>
        <v>27</v>
      </c>
      <c r="F30" s="7" t="str">
        <f t="shared" si="13"/>
        <v>46E</v>
      </c>
      <c r="G30" s="7" t="str">
        <f t="shared" si="0"/>
        <v>16F1</v>
      </c>
      <c r="H30" s="3"/>
      <c r="I30" s="7">
        <v>1</v>
      </c>
      <c r="J30" s="7">
        <f>J29</f>
        <v>13</v>
      </c>
      <c r="K30" s="7">
        <f t="shared" si="26"/>
        <v>30</v>
      </c>
      <c r="L30" s="7">
        <f t="shared" si="19"/>
        <v>27</v>
      </c>
      <c r="M30" s="7" t="str">
        <f t="shared" si="1"/>
        <v>C4E</v>
      </c>
      <c r="N30" s="7" t="str">
        <f t="shared" si="2"/>
        <v>1ED1</v>
      </c>
      <c r="O30" s="3"/>
      <c r="P30" s="7">
        <f t="shared" si="14"/>
        <v>2</v>
      </c>
      <c r="Q30" s="7">
        <f>Q29</f>
        <v>13</v>
      </c>
      <c r="R30" s="7">
        <f t="shared" si="27"/>
        <v>30</v>
      </c>
      <c r="S30" s="7">
        <f t="shared" si="20"/>
        <v>27</v>
      </c>
      <c r="T30" s="7" t="str">
        <f t="shared" si="3"/>
        <v>142E</v>
      </c>
      <c r="U30" s="7" t="str">
        <f t="shared" si="4"/>
        <v>26B1</v>
      </c>
      <c r="V30" s="3"/>
      <c r="X30" s="7">
        <f t="shared" si="15"/>
        <v>7</v>
      </c>
      <c r="Y30" s="7">
        <f>Y29</f>
        <v>13</v>
      </c>
      <c r="Z30" s="7">
        <f t="shared" si="28"/>
        <v>30</v>
      </c>
      <c r="AA30" s="7">
        <f t="shared" si="21"/>
        <v>27</v>
      </c>
      <c r="AB30" s="7" t="str">
        <f t="shared" si="5"/>
        <v>3B8E</v>
      </c>
      <c r="AC30" s="7" t="str">
        <f t="shared" si="6"/>
        <v>4E11</v>
      </c>
      <c r="AD30" s="3"/>
      <c r="AF30" s="7">
        <f t="shared" si="16"/>
        <v>21</v>
      </c>
      <c r="AG30" s="7">
        <f>AG29</f>
        <v>13</v>
      </c>
      <c r="AH30" s="7">
        <f t="shared" si="29"/>
        <v>30</v>
      </c>
      <c r="AI30" s="7">
        <f t="shared" si="22"/>
        <v>27</v>
      </c>
      <c r="AJ30" s="7" t="str">
        <f t="shared" si="7"/>
        <v>A9CE</v>
      </c>
      <c r="AK30" s="7" t="str">
        <f t="shared" si="8"/>
        <v>BC51</v>
      </c>
      <c r="AL30" s="3"/>
      <c r="AM30" s="3"/>
      <c r="AN30" s="7">
        <f t="shared" si="17"/>
        <v>34</v>
      </c>
      <c r="AO30" s="7">
        <f>AO29</f>
        <v>13</v>
      </c>
      <c r="AP30" s="7">
        <f t="shared" si="30"/>
        <v>30</v>
      </c>
      <c r="AQ30" s="7">
        <f t="shared" si="23"/>
        <v>27</v>
      </c>
      <c r="AR30" s="7" t="str">
        <f t="shared" si="9"/>
        <v>1102E</v>
      </c>
      <c r="AS30" s="7" t="str">
        <f t="shared" si="10"/>
        <v>122B1</v>
      </c>
      <c r="AT30" s="3"/>
      <c r="AU30" s="3"/>
      <c r="AV30" s="7">
        <f t="shared" si="32"/>
        <v>60</v>
      </c>
      <c r="AW30" s="7">
        <f>AW29</f>
        <v>13</v>
      </c>
      <c r="AX30" s="7">
        <f t="shared" si="31"/>
        <v>30</v>
      </c>
      <c r="AY30" s="7">
        <f t="shared" si="24"/>
        <v>27</v>
      </c>
      <c r="AZ30" s="7" t="str">
        <f t="shared" si="11"/>
        <v>1DCEE</v>
      </c>
      <c r="BA30" s="7" t="str">
        <f t="shared" si="12"/>
        <v>1EF71</v>
      </c>
      <c r="BB30" s="3"/>
    </row>
    <row r="31" spans="2:54" x14ac:dyDescent="0.25">
      <c r="B31" s="7">
        <v>0</v>
      </c>
      <c r="C31" s="7">
        <f>SUM(C29+1)</f>
        <v>14</v>
      </c>
      <c r="D31" s="7">
        <f t="shared" si="25"/>
        <v>0</v>
      </c>
      <c r="E31" s="7">
        <f t="shared" si="18"/>
        <v>28</v>
      </c>
      <c r="F31" s="7" t="str">
        <f t="shared" si="13"/>
        <v>498</v>
      </c>
      <c r="G31" s="7" t="str">
        <f t="shared" si="0"/>
        <v>171B</v>
      </c>
      <c r="H31" s="3"/>
      <c r="I31" s="7">
        <v>1</v>
      </c>
      <c r="J31" s="7">
        <f>SUM(J29+1)</f>
        <v>14</v>
      </c>
      <c r="K31" s="7">
        <f t="shared" si="26"/>
        <v>0</v>
      </c>
      <c r="L31" s="7">
        <f t="shared" si="19"/>
        <v>28</v>
      </c>
      <c r="M31" s="7" t="str">
        <f t="shared" si="1"/>
        <v>C78</v>
      </c>
      <c r="N31" s="7" t="str">
        <f t="shared" si="2"/>
        <v>1EFB</v>
      </c>
      <c r="O31" s="3"/>
      <c r="P31" s="7">
        <f t="shared" si="14"/>
        <v>2</v>
      </c>
      <c r="Q31" s="7">
        <f>SUM(Q29+1)</f>
        <v>14</v>
      </c>
      <c r="R31" s="7">
        <f t="shared" si="27"/>
        <v>0</v>
      </c>
      <c r="S31" s="7">
        <f t="shared" si="20"/>
        <v>28</v>
      </c>
      <c r="T31" s="7" t="str">
        <f t="shared" si="3"/>
        <v>1458</v>
      </c>
      <c r="U31" s="7" t="str">
        <f t="shared" si="4"/>
        <v>26DB</v>
      </c>
      <c r="V31" s="3"/>
      <c r="X31" s="7">
        <f t="shared" si="15"/>
        <v>7</v>
      </c>
      <c r="Y31" s="7">
        <f>SUM(Y29+1)</f>
        <v>14</v>
      </c>
      <c r="Z31" s="7">
        <f t="shared" si="28"/>
        <v>0</v>
      </c>
      <c r="AA31" s="7">
        <f t="shared" si="21"/>
        <v>28</v>
      </c>
      <c r="AB31" s="7" t="str">
        <f t="shared" si="5"/>
        <v>3BB8</v>
      </c>
      <c r="AC31" s="7" t="str">
        <f t="shared" si="6"/>
        <v>4E3B</v>
      </c>
      <c r="AD31" s="3"/>
      <c r="AF31" s="7">
        <f t="shared" si="16"/>
        <v>21</v>
      </c>
      <c r="AG31" s="7">
        <f>SUM(AG29+1)</f>
        <v>14</v>
      </c>
      <c r="AH31" s="7">
        <f t="shared" si="29"/>
        <v>0</v>
      </c>
      <c r="AI31" s="7">
        <f t="shared" si="22"/>
        <v>28</v>
      </c>
      <c r="AJ31" s="7" t="str">
        <f t="shared" si="7"/>
        <v>A9F8</v>
      </c>
      <c r="AK31" s="7" t="str">
        <f t="shared" si="8"/>
        <v>BC7B</v>
      </c>
      <c r="AL31" s="3"/>
      <c r="AM31" s="3"/>
      <c r="AN31" s="7">
        <f t="shared" si="17"/>
        <v>34</v>
      </c>
      <c r="AO31" s="7">
        <f>SUM(AO29+1)</f>
        <v>14</v>
      </c>
      <c r="AP31" s="7">
        <f t="shared" si="30"/>
        <v>0</v>
      </c>
      <c r="AQ31" s="7">
        <f t="shared" si="23"/>
        <v>28</v>
      </c>
      <c r="AR31" s="7" t="str">
        <f t="shared" si="9"/>
        <v>11058</v>
      </c>
      <c r="AS31" s="7" t="str">
        <f t="shared" si="10"/>
        <v>122DB</v>
      </c>
      <c r="AT31" s="3"/>
      <c r="AU31" s="3"/>
      <c r="AV31" s="7">
        <f t="shared" si="32"/>
        <v>60</v>
      </c>
      <c r="AW31" s="7">
        <f>SUM(AW29+1)</f>
        <v>14</v>
      </c>
      <c r="AX31" s="7">
        <f t="shared" si="31"/>
        <v>0</v>
      </c>
      <c r="AY31" s="7">
        <f t="shared" si="24"/>
        <v>28</v>
      </c>
      <c r="AZ31" s="7" t="str">
        <f t="shared" si="11"/>
        <v>1DD18</v>
      </c>
      <c r="BA31" s="7" t="str">
        <f t="shared" si="12"/>
        <v>1EF9B</v>
      </c>
      <c r="BB31" s="3"/>
    </row>
    <row r="32" spans="2:54" x14ac:dyDescent="0.25">
      <c r="B32" s="7">
        <v>0</v>
      </c>
      <c r="C32" s="7">
        <f>C31</f>
        <v>14</v>
      </c>
      <c r="D32" s="7">
        <f t="shared" si="25"/>
        <v>30</v>
      </c>
      <c r="E32" s="7">
        <f t="shared" si="18"/>
        <v>29</v>
      </c>
      <c r="F32" s="7" t="str">
        <f t="shared" si="13"/>
        <v>4C2</v>
      </c>
      <c r="G32" s="7" t="str">
        <f t="shared" si="0"/>
        <v>1745</v>
      </c>
      <c r="H32" s="3"/>
      <c r="I32" s="7">
        <v>1</v>
      </c>
      <c r="J32" s="7">
        <f>J31</f>
        <v>14</v>
      </c>
      <c r="K32" s="7">
        <f t="shared" si="26"/>
        <v>30</v>
      </c>
      <c r="L32" s="7">
        <f t="shared" si="19"/>
        <v>29</v>
      </c>
      <c r="M32" s="7" t="str">
        <f t="shared" si="1"/>
        <v>CA2</v>
      </c>
      <c r="N32" s="7" t="str">
        <f t="shared" si="2"/>
        <v>1F25</v>
      </c>
      <c r="O32" s="3"/>
      <c r="P32" s="7">
        <f t="shared" si="14"/>
        <v>2</v>
      </c>
      <c r="Q32" s="7">
        <f>Q31</f>
        <v>14</v>
      </c>
      <c r="R32" s="7">
        <f t="shared" si="27"/>
        <v>30</v>
      </c>
      <c r="S32" s="7">
        <f t="shared" si="20"/>
        <v>29</v>
      </c>
      <c r="T32" s="7" t="str">
        <f t="shared" si="3"/>
        <v>1482</v>
      </c>
      <c r="U32" s="7" t="str">
        <f t="shared" si="4"/>
        <v>2705</v>
      </c>
      <c r="V32" s="3"/>
      <c r="X32" s="7">
        <f t="shared" si="15"/>
        <v>7</v>
      </c>
      <c r="Y32" s="7">
        <f>Y31</f>
        <v>14</v>
      </c>
      <c r="Z32" s="7">
        <f t="shared" si="28"/>
        <v>30</v>
      </c>
      <c r="AA32" s="7">
        <f t="shared" si="21"/>
        <v>29</v>
      </c>
      <c r="AB32" s="7" t="str">
        <f t="shared" si="5"/>
        <v>3BE2</v>
      </c>
      <c r="AC32" s="7" t="str">
        <f t="shared" si="6"/>
        <v>4E65</v>
      </c>
      <c r="AD32" s="3"/>
      <c r="AF32" s="7">
        <f t="shared" si="16"/>
        <v>21</v>
      </c>
      <c r="AG32" s="7">
        <f>AG31</f>
        <v>14</v>
      </c>
      <c r="AH32" s="7">
        <f t="shared" si="29"/>
        <v>30</v>
      </c>
      <c r="AI32" s="7">
        <f t="shared" si="22"/>
        <v>29</v>
      </c>
      <c r="AJ32" s="7" t="str">
        <f t="shared" si="7"/>
        <v>AA22</v>
      </c>
      <c r="AK32" s="7" t="str">
        <f t="shared" si="8"/>
        <v>BCA5</v>
      </c>
      <c r="AL32" s="3"/>
      <c r="AM32" s="3"/>
      <c r="AN32" s="7">
        <f t="shared" si="17"/>
        <v>34</v>
      </c>
      <c r="AO32" s="7">
        <f>AO31</f>
        <v>14</v>
      </c>
      <c r="AP32" s="7">
        <f t="shared" si="30"/>
        <v>30</v>
      </c>
      <c r="AQ32" s="7">
        <f t="shared" si="23"/>
        <v>29</v>
      </c>
      <c r="AR32" s="7" t="str">
        <f t="shared" si="9"/>
        <v>11082</v>
      </c>
      <c r="AS32" s="7" t="str">
        <f t="shared" si="10"/>
        <v>12305</v>
      </c>
      <c r="AT32" s="3"/>
      <c r="AU32" s="3"/>
      <c r="AV32" s="7">
        <f t="shared" si="32"/>
        <v>60</v>
      </c>
      <c r="AW32" s="7">
        <f>AW31</f>
        <v>14</v>
      </c>
      <c r="AX32" s="7">
        <f t="shared" si="31"/>
        <v>30</v>
      </c>
      <c r="AY32" s="7">
        <f t="shared" si="24"/>
        <v>29</v>
      </c>
      <c r="AZ32" s="7" t="str">
        <f t="shared" si="11"/>
        <v>1DD42</v>
      </c>
      <c r="BA32" s="7" t="str">
        <f t="shared" si="12"/>
        <v>1EFC5</v>
      </c>
      <c r="BB32" s="3"/>
    </row>
    <row r="33" spans="2:54" x14ac:dyDescent="0.25">
      <c r="B33" s="7">
        <v>0</v>
      </c>
      <c r="C33" s="7">
        <f>SUM(C31+1)</f>
        <v>15</v>
      </c>
      <c r="D33" s="7">
        <f t="shared" si="25"/>
        <v>0</v>
      </c>
      <c r="E33" s="7">
        <f t="shared" si="18"/>
        <v>30</v>
      </c>
      <c r="F33" s="7" t="str">
        <f t="shared" si="13"/>
        <v>4EC</v>
      </c>
      <c r="G33" s="7" t="str">
        <f t="shared" si="0"/>
        <v>176F</v>
      </c>
      <c r="H33" s="3"/>
      <c r="I33" s="7">
        <v>1</v>
      </c>
      <c r="J33" s="7">
        <f>SUM(J31+1)</f>
        <v>15</v>
      </c>
      <c r="K33" s="7">
        <f t="shared" si="26"/>
        <v>0</v>
      </c>
      <c r="L33" s="7">
        <f t="shared" si="19"/>
        <v>30</v>
      </c>
      <c r="M33" s="7" t="str">
        <f t="shared" si="1"/>
        <v>CCC</v>
      </c>
      <c r="N33" s="7" t="str">
        <f t="shared" si="2"/>
        <v>1F4F</v>
      </c>
      <c r="O33" s="3"/>
      <c r="P33" s="7">
        <f t="shared" si="14"/>
        <v>2</v>
      </c>
      <c r="Q33" s="7">
        <f>SUM(Q31+1)</f>
        <v>15</v>
      </c>
      <c r="R33" s="7">
        <f t="shared" si="27"/>
        <v>0</v>
      </c>
      <c r="S33" s="7">
        <f t="shared" si="20"/>
        <v>30</v>
      </c>
      <c r="T33" s="7" t="str">
        <f t="shared" si="3"/>
        <v>14AC</v>
      </c>
      <c r="U33" s="7" t="str">
        <f t="shared" si="4"/>
        <v>272F</v>
      </c>
      <c r="V33" s="3"/>
      <c r="X33" s="7">
        <f t="shared" si="15"/>
        <v>7</v>
      </c>
      <c r="Y33" s="7">
        <f>SUM(Y31+1)</f>
        <v>15</v>
      </c>
      <c r="Z33" s="7">
        <f t="shared" si="28"/>
        <v>0</v>
      </c>
      <c r="AA33" s="7">
        <f t="shared" si="21"/>
        <v>30</v>
      </c>
      <c r="AB33" s="7" t="str">
        <f t="shared" si="5"/>
        <v>3C0C</v>
      </c>
      <c r="AC33" s="7" t="str">
        <f t="shared" si="6"/>
        <v>4E8F</v>
      </c>
      <c r="AD33" s="3"/>
      <c r="AF33" s="7">
        <f t="shared" si="16"/>
        <v>21</v>
      </c>
      <c r="AG33" s="7">
        <f>SUM(AG31+1)</f>
        <v>15</v>
      </c>
      <c r="AH33" s="7">
        <f t="shared" si="29"/>
        <v>0</v>
      </c>
      <c r="AI33" s="7">
        <f t="shared" si="22"/>
        <v>30</v>
      </c>
      <c r="AJ33" s="7" t="str">
        <f t="shared" si="7"/>
        <v>AA4C</v>
      </c>
      <c r="AK33" s="7" t="str">
        <f t="shared" si="8"/>
        <v>BCCF</v>
      </c>
      <c r="AL33" s="3"/>
      <c r="AM33" s="3"/>
      <c r="AN33" s="7">
        <f t="shared" si="17"/>
        <v>34</v>
      </c>
      <c r="AO33" s="7">
        <f>SUM(AO31+1)</f>
        <v>15</v>
      </c>
      <c r="AP33" s="7">
        <f t="shared" si="30"/>
        <v>0</v>
      </c>
      <c r="AQ33" s="7">
        <f t="shared" si="23"/>
        <v>30</v>
      </c>
      <c r="AR33" s="7" t="str">
        <f t="shared" si="9"/>
        <v>110AC</v>
      </c>
      <c r="AS33" s="7" t="str">
        <f t="shared" si="10"/>
        <v>1232F</v>
      </c>
      <c r="AT33" s="3"/>
      <c r="AU33" s="3"/>
      <c r="AV33" s="7">
        <f t="shared" si="32"/>
        <v>60</v>
      </c>
      <c r="AW33" s="7">
        <f>SUM(AW31+1)</f>
        <v>15</v>
      </c>
      <c r="AX33" s="7">
        <f t="shared" si="31"/>
        <v>0</v>
      </c>
      <c r="AY33" s="7">
        <f t="shared" si="24"/>
        <v>30</v>
      </c>
      <c r="AZ33" s="7" t="str">
        <f t="shared" si="11"/>
        <v>1DD6C</v>
      </c>
      <c r="BA33" s="7" t="str">
        <f t="shared" si="12"/>
        <v>1EFEF</v>
      </c>
      <c r="BB33" s="3"/>
    </row>
    <row r="34" spans="2:54" x14ac:dyDescent="0.25">
      <c r="B34" s="7">
        <v>0</v>
      </c>
      <c r="C34" s="7">
        <f>C33</f>
        <v>15</v>
      </c>
      <c r="D34" s="7">
        <f t="shared" si="25"/>
        <v>30</v>
      </c>
      <c r="E34" s="7">
        <f t="shared" si="18"/>
        <v>31</v>
      </c>
      <c r="F34" s="7" t="str">
        <f t="shared" si="13"/>
        <v>516</v>
      </c>
      <c r="G34" s="7" t="str">
        <f t="shared" si="0"/>
        <v>1799</v>
      </c>
      <c r="H34" s="3"/>
      <c r="I34" s="7">
        <v>1</v>
      </c>
      <c r="J34" s="7">
        <f>J33</f>
        <v>15</v>
      </c>
      <c r="K34" s="7">
        <f t="shared" si="26"/>
        <v>30</v>
      </c>
      <c r="L34" s="7">
        <f t="shared" si="19"/>
        <v>31</v>
      </c>
      <c r="M34" s="7" t="str">
        <f t="shared" si="1"/>
        <v>CF6</v>
      </c>
      <c r="N34" s="7" t="str">
        <f t="shared" si="2"/>
        <v>1F79</v>
      </c>
      <c r="O34" s="3"/>
      <c r="P34" s="7">
        <f t="shared" si="14"/>
        <v>2</v>
      </c>
      <c r="Q34" s="7">
        <f>Q33</f>
        <v>15</v>
      </c>
      <c r="R34" s="7">
        <f t="shared" si="27"/>
        <v>30</v>
      </c>
      <c r="S34" s="7">
        <f t="shared" si="20"/>
        <v>31</v>
      </c>
      <c r="T34" s="7" t="str">
        <f t="shared" si="3"/>
        <v>14D6</v>
      </c>
      <c r="U34" s="7" t="str">
        <f t="shared" si="4"/>
        <v>2759</v>
      </c>
      <c r="V34" s="3"/>
      <c r="X34" s="7">
        <f t="shared" si="15"/>
        <v>7</v>
      </c>
      <c r="Y34" s="7">
        <f>Y33</f>
        <v>15</v>
      </c>
      <c r="Z34" s="7">
        <f t="shared" si="28"/>
        <v>30</v>
      </c>
      <c r="AA34" s="7">
        <f t="shared" si="21"/>
        <v>31</v>
      </c>
      <c r="AB34" s="7" t="str">
        <f t="shared" si="5"/>
        <v>3C36</v>
      </c>
      <c r="AC34" s="7" t="str">
        <f t="shared" si="6"/>
        <v>4EB9</v>
      </c>
      <c r="AD34" s="3"/>
      <c r="AF34" s="7">
        <f t="shared" si="16"/>
        <v>21</v>
      </c>
      <c r="AG34" s="7">
        <f>AG33</f>
        <v>15</v>
      </c>
      <c r="AH34" s="7">
        <f t="shared" si="29"/>
        <v>30</v>
      </c>
      <c r="AI34" s="7">
        <f t="shared" si="22"/>
        <v>31</v>
      </c>
      <c r="AJ34" s="7" t="str">
        <f t="shared" si="7"/>
        <v>AA76</v>
      </c>
      <c r="AK34" s="7" t="str">
        <f t="shared" si="8"/>
        <v>BCF9</v>
      </c>
      <c r="AL34" s="3"/>
      <c r="AM34" s="3"/>
      <c r="AN34" s="7">
        <f t="shared" si="17"/>
        <v>34</v>
      </c>
      <c r="AO34" s="7">
        <f>AO33</f>
        <v>15</v>
      </c>
      <c r="AP34" s="7">
        <f t="shared" si="30"/>
        <v>30</v>
      </c>
      <c r="AQ34" s="7">
        <f t="shared" si="23"/>
        <v>31</v>
      </c>
      <c r="AR34" s="7" t="str">
        <f t="shared" si="9"/>
        <v>110D6</v>
      </c>
      <c r="AS34" s="7" t="str">
        <f t="shared" si="10"/>
        <v>12359</v>
      </c>
      <c r="AT34" s="3"/>
      <c r="AU34" s="3"/>
      <c r="AV34" s="7">
        <f t="shared" si="32"/>
        <v>60</v>
      </c>
      <c r="AW34" s="7">
        <f>AW33</f>
        <v>15</v>
      </c>
      <c r="AX34" s="7">
        <f t="shared" si="31"/>
        <v>30</v>
      </c>
      <c r="AY34" s="7">
        <f t="shared" si="24"/>
        <v>31</v>
      </c>
      <c r="AZ34" s="7" t="str">
        <f t="shared" si="11"/>
        <v>1DD96</v>
      </c>
      <c r="BA34" s="7" t="str">
        <f t="shared" si="12"/>
        <v>1F019</v>
      </c>
      <c r="BB34" s="3"/>
    </row>
    <row r="35" spans="2:54" x14ac:dyDescent="0.25">
      <c r="B35" s="7">
        <v>0</v>
      </c>
      <c r="C35" s="7">
        <f>SUM(C33+1)</f>
        <v>16</v>
      </c>
      <c r="D35" s="7">
        <f t="shared" si="25"/>
        <v>0</v>
      </c>
      <c r="E35" s="7">
        <f t="shared" si="18"/>
        <v>32</v>
      </c>
      <c r="F35" s="7" t="str">
        <f t="shared" si="13"/>
        <v>540</v>
      </c>
      <c r="G35" s="7" t="str">
        <f t="shared" si="0"/>
        <v>17C3</v>
      </c>
      <c r="H35" s="3"/>
      <c r="I35" s="7">
        <v>1</v>
      </c>
      <c r="J35" s="7">
        <f>SUM(J33+1)</f>
        <v>16</v>
      </c>
      <c r="K35" s="7">
        <f t="shared" si="26"/>
        <v>0</v>
      </c>
      <c r="L35" s="7">
        <f t="shared" si="19"/>
        <v>32</v>
      </c>
      <c r="M35" s="7" t="str">
        <f t="shared" si="1"/>
        <v>D20</v>
      </c>
      <c r="N35" s="7" t="str">
        <f t="shared" si="2"/>
        <v>1FA3</v>
      </c>
      <c r="O35" s="3"/>
      <c r="P35" s="7">
        <f t="shared" si="14"/>
        <v>2</v>
      </c>
      <c r="Q35" s="7">
        <f>SUM(Q33+1)</f>
        <v>16</v>
      </c>
      <c r="R35" s="7">
        <f t="shared" si="27"/>
        <v>0</v>
      </c>
      <c r="S35" s="7">
        <f t="shared" si="20"/>
        <v>32</v>
      </c>
      <c r="T35" s="7" t="str">
        <f t="shared" si="3"/>
        <v>1500</v>
      </c>
      <c r="U35" s="7" t="str">
        <f t="shared" si="4"/>
        <v>2783</v>
      </c>
      <c r="V35" s="3"/>
      <c r="X35" s="7">
        <f t="shared" si="15"/>
        <v>7</v>
      </c>
      <c r="Y35" s="7">
        <f>SUM(Y33+1)</f>
        <v>16</v>
      </c>
      <c r="Z35" s="7">
        <f t="shared" si="28"/>
        <v>0</v>
      </c>
      <c r="AA35" s="7">
        <f t="shared" si="21"/>
        <v>32</v>
      </c>
      <c r="AB35" s="7" t="str">
        <f t="shared" si="5"/>
        <v>3C60</v>
      </c>
      <c r="AC35" s="7" t="str">
        <f t="shared" si="6"/>
        <v>4EE3</v>
      </c>
      <c r="AD35" s="3"/>
      <c r="AF35" s="7">
        <f t="shared" si="16"/>
        <v>21</v>
      </c>
      <c r="AG35" s="7">
        <f>SUM(AG33+1)</f>
        <v>16</v>
      </c>
      <c r="AH35" s="7">
        <f t="shared" si="29"/>
        <v>0</v>
      </c>
      <c r="AI35" s="7">
        <f t="shared" si="22"/>
        <v>32</v>
      </c>
      <c r="AJ35" s="7" t="str">
        <f t="shared" si="7"/>
        <v>AAA0</v>
      </c>
      <c r="AK35" s="7" t="str">
        <f t="shared" si="8"/>
        <v>BD23</v>
      </c>
      <c r="AL35" s="3"/>
      <c r="AM35" s="3"/>
      <c r="AN35" s="7">
        <f t="shared" si="17"/>
        <v>34</v>
      </c>
      <c r="AO35" s="7">
        <f>SUM(AO33+1)</f>
        <v>16</v>
      </c>
      <c r="AP35" s="7">
        <f t="shared" si="30"/>
        <v>0</v>
      </c>
      <c r="AQ35" s="7">
        <f t="shared" si="23"/>
        <v>32</v>
      </c>
      <c r="AR35" s="7" t="str">
        <f t="shared" si="9"/>
        <v>11100</v>
      </c>
      <c r="AS35" s="7" t="str">
        <f t="shared" si="10"/>
        <v>12383</v>
      </c>
      <c r="AT35" s="3"/>
      <c r="AU35" s="3"/>
      <c r="AV35" s="7">
        <f t="shared" si="32"/>
        <v>60</v>
      </c>
      <c r="AW35" s="7">
        <f>SUM(AW33+1)</f>
        <v>16</v>
      </c>
      <c r="AX35" s="7">
        <f t="shared" si="31"/>
        <v>0</v>
      </c>
      <c r="AY35" s="7">
        <f t="shared" si="24"/>
        <v>32</v>
      </c>
      <c r="AZ35" s="7" t="str">
        <f t="shared" si="11"/>
        <v>1DDC0</v>
      </c>
      <c r="BA35" s="7" t="str">
        <f t="shared" si="12"/>
        <v>1F043</v>
      </c>
      <c r="BB35" s="3"/>
    </row>
    <row r="36" spans="2:54" x14ac:dyDescent="0.25">
      <c r="B36" s="7">
        <v>0</v>
      </c>
      <c r="C36" s="7">
        <f>C35</f>
        <v>16</v>
      </c>
      <c r="D36" s="7">
        <f t="shared" si="25"/>
        <v>30</v>
      </c>
      <c r="E36" s="7">
        <f t="shared" si="18"/>
        <v>33</v>
      </c>
      <c r="F36" s="7" t="str">
        <f t="shared" si="13"/>
        <v>56A</v>
      </c>
      <c r="G36" s="7" t="str">
        <f t="shared" si="0"/>
        <v>17ED</v>
      </c>
      <c r="H36" s="3"/>
      <c r="I36" s="7">
        <v>1</v>
      </c>
      <c r="J36" s="7">
        <f>J35</f>
        <v>16</v>
      </c>
      <c r="K36" s="7">
        <f t="shared" si="26"/>
        <v>30</v>
      </c>
      <c r="L36" s="7">
        <f t="shared" si="19"/>
        <v>33</v>
      </c>
      <c r="M36" s="7" t="str">
        <f t="shared" si="1"/>
        <v>D4A</v>
      </c>
      <c r="N36" s="7" t="str">
        <f t="shared" si="2"/>
        <v>1FCD</v>
      </c>
      <c r="O36" s="3"/>
      <c r="P36" s="7">
        <f t="shared" si="14"/>
        <v>2</v>
      </c>
      <c r="Q36" s="7">
        <f>Q35</f>
        <v>16</v>
      </c>
      <c r="R36" s="7">
        <f t="shared" si="27"/>
        <v>30</v>
      </c>
      <c r="S36" s="7">
        <f t="shared" si="20"/>
        <v>33</v>
      </c>
      <c r="T36" s="7" t="str">
        <f t="shared" si="3"/>
        <v>152A</v>
      </c>
      <c r="U36" s="7" t="str">
        <f t="shared" si="4"/>
        <v>27AD</v>
      </c>
      <c r="V36" s="3"/>
      <c r="X36" s="7">
        <f t="shared" si="15"/>
        <v>7</v>
      </c>
      <c r="Y36" s="7">
        <f>Y35</f>
        <v>16</v>
      </c>
      <c r="Z36" s="7">
        <f t="shared" si="28"/>
        <v>30</v>
      </c>
      <c r="AA36" s="7">
        <f t="shared" si="21"/>
        <v>33</v>
      </c>
      <c r="AB36" s="7" t="str">
        <f t="shared" si="5"/>
        <v>3C8A</v>
      </c>
      <c r="AC36" s="7" t="str">
        <f t="shared" si="6"/>
        <v>4F0D</v>
      </c>
      <c r="AD36" s="3"/>
      <c r="AF36" s="7">
        <f t="shared" si="16"/>
        <v>21</v>
      </c>
      <c r="AG36" s="7">
        <f>AG35</f>
        <v>16</v>
      </c>
      <c r="AH36" s="7">
        <f t="shared" si="29"/>
        <v>30</v>
      </c>
      <c r="AI36" s="7">
        <f t="shared" si="22"/>
        <v>33</v>
      </c>
      <c r="AJ36" s="7" t="str">
        <f t="shared" si="7"/>
        <v>AACA</v>
      </c>
      <c r="AK36" s="7" t="str">
        <f t="shared" si="8"/>
        <v>BD4D</v>
      </c>
      <c r="AL36" s="3"/>
      <c r="AM36" s="3"/>
      <c r="AN36" s="7">
        <f t="shared" si="17"/>
        <v>34</v>
      </c>
      <c r="AO36" s="7">
        <f>AO35</f>
        <v>16</v>
      </c>
      <c r="AP36" s="7">
        <f t="shared" si="30"/>
        <v>30</v>
      </c>
      <c r="AQ36" s="7">
        <f t="shared" si="23"/>
        <v>33</v>
      </c>
      <c r="AR36" s="7" t="str">
        <f t="shared" si="9"/>
        <v>1112A</v>
      </c>
      <c r="AS36" s="7" t="str">
        <f t="shared" si="10"/>
        <v>123AD</v>
      </c>
      <c r="AT36" s="3"/>
      <c r="AU36" s="3"/>
      <c r="AV36" s="7">
        <f t="shared" si="32"/>
        <v>60</v>
      </c>
      <c r="AW36" s="7">
        <f>AW35</f>
        <v>16</v>
      </c>
      <c r="AX36" s="7">
        <f t="shared" si="31"/>
        <v>30</v>
      </c>
      <c r="AY36" s="7">
        <f t="shared" si="24"/>
        <v>33</v>
      </c>
      <c r="AZ36" s="7" t="str">
        <f t="shared" si="11"/>
        <v>1DDEA</v>
      </c>
      <c r="BA36" s="7" t="str">
        <f t="shared" si="12"/>
        <v>1F06D</v>
      </c>
      <c r="BB36" s="3"/>
    </row>
    <row r="37" spans="2:54" x14ac:dyDescent="0.25">
      <c r="B37" s="7">
        <v>0</v>
      </c>
      <c r="C37" s="7">
        <f>SUM(C35+1)</f>
        <v>17</v>
      </c>
      <c r="D37" s="7">
        <f t="shared" si="25"/>
        <v>0</v>
      </c>
      <c r="E37" s="7">
        <f t="shared" si="18"/>
        <v>34</v>
      </c>
      <c r="F37" s="7" t="str">
        <f t="shared" si="13"/>
        <v>594</v>
      </c>
      <c r="G37" s="7" t="str">
        <f t="shared" si="0"/>
        <v>1817</v>
      </c>
      <c r="H37" s="3"/>
      <c r="I37" s="7">
        <v>1</v>
      </c>
      <c r="J37" s="7">
        <f>SUM(J35+1)</f>
        <v>17</v>
      </c>
      <c r="K37" s="7">
        <f t="shared" si="26"/>
        <v>0</v>
      </c>
      <c r="L37" s="7">
        <f t="shared" si="19"/>
        <v>34</v>
      </c>
      <c r="M37" s="7" t="str">
        <f t="shared" si="1"/>
        <v>D74</v>
      </c>
      <c r="N37" s="7" t="str">
        <f t="shared" si="2"/>
        <v>1FF7</v>
      </c>
      <c r="O37" s="3"/>
      <c r="P37" s="7">
        <f t="shared" si="14"/>
        <v>2</v>
      </c>
      <c r="Q37" s="7">
        <f>SUM(Q35+1)</f>
        <v>17</v>
      </c>
      <c r="R37" s="7">
        <f t="shared" si="27"/>
        <v>0</v>
      </c>
      <c r="S37" s="7">
        <f t="shared" si="20"/>
        <v>34</v>
      </c>
      <c r="T37" s="7" t="str">
        <f t="shared" si="3"/>
        <v>1554</v>
      </c>
      <c r="U37" s="7" t="str">
        <f t="shared" si="4"/>
        <v>27D7</v>
      </c>
      <c r="V37" s="3"/>
      <c r="X37" s="7">
        <f t="shared" si="15"/>
        <v>7</v>
      </c>
      <c r="Y37" s="7">
        <f>SUM(Y35+1)</f>
        <v>17</v>
      </c>
      <c r="Z37" s="7">
        <f t="shared" si="28"/>
        <v>0</v>
      </c>
      <c r="AA37" s="7">
        <f t="shared" si="21"/>
        <v>34</v>
      </c>
      <c r="AB37" s="7" t="str">
        <f t="shared" si="5"/>
        <v>3CB4</v>
      </c>
      <c r="AC37" s="7" t="str">
        <f t="shared" si="6"/>
        <v>4F37</v>
      </c>
      <c r="AD37" s="3"/>
      <c r="AF37" s="7">
        <f t="shared" si="16"/>
        <v>21</v>
      </c>
      <c r="AG37" s="7">
        <f>SUM(AG35+1)</f>
        <v>17</v>
      </c>
      <c r="AH37" s="7">
        <f t="shared" si="29"/>
        <v>0</v>
      </c>
      <c r="AI37" s="7">
        <f t="shared" si="22"/>
        <v>34</v>
      </c>
      <c r="AJ37" s="7" t="str">
        <f t="shared" si="7"/>
        <v>AAF4</v>
      </c>
      <c r="AK37" s="7" t="str">
        <f t="shared" si="8"/>
        <v>BD77</v>
      </c>
      <c r="AL37" s="3"/>
      <c r="AM37" s="3"/>
      <c r="AN37" s="7">
        <f t="shared" si="17"/>
        <v>34</v>
      </c>
      <c r="AO37" s="7">
        <f>SUM(AO35+1)</f>
        <v>17</v>
      </c>
      <c r="AP37" s="7">
        <f t="shared" si="30"/>
        <v>0</v>
      </c>
      <c r="AQ37" s="7">
        <f t="shared" si="23"/>
        <v>34</v>
      </c>
      <c r="AR37" s="7" t="str">
        <f t="shared" si="9"/>
        <v>11154</v>
      </c>
      <c r="AS37" s="7" t="str">
        <f t="shared" si="10"/>
        <v>123D7</v>
      </c>
      <c r="AT37" s="3"/>
      <c r="AU37" s="3"/>
      <c r="AV37" s="7">
        <f t="shared" si="32"/>
        <v>60</v>
      </c>
      <c r="AW37" s="7">
        <f>SUM(AW35+1)</f>
        <v>17</v>
      </c>
      <c r="AX37" s="7">
        <f t="shared" si="31"/>
        <v>0</v>
      </c>
      <c r="AY37" s="7">
        <f t="shared" si="24"/>
        <v>34</v>
      </c>
      <c r="AZ37" s="7" t="str">
        <f t="shared" si="11"/>
        <v>1DE14</v>
      </c>
      <c r="BA37" s="7" t="str">
        <f t="shared" si="12"/>
        <v>1F097</v>
      </c>
      <c r="BB37" s="3"/>
    </row>
    <row r="38" spans="2:54" x14ac:dyDescent="0.25">
      <c r="B38" s="7">
        <v>0</v>
      </c>
      <c r="C38" s="7">
        <f>C37</f>
        <v>17</v>
      </c>
      <c r="D38" s="7">
        <f t="shared" si="25"/>
        <v>30</v>
      </c>
      <c r="E38" s="7">
        <f t="shared" si="18"/>
        <v>35</v>
      </c>
      <c r="F38" s="7" t="str">
        <f t="shared" si="13"/>
        <v>5BE</v>
      </c>
      <c r="G38" s="7" t="str">
        <f t="shared" si="0"/>
        <v>1841</v>
      </c>
      <c r="H38" s="3"/>
      <c r="I38" s="7">
        <v>1</v>
      </c>
      <c r="J38" s="7">
        <f>J37</f>
        <v>17</v>
      </c>
      <c r="K38" s="7">
        <f t="shared" si="26"/>
        <v>30</v>
      </c>
      <c r="L38" s="7">
        <f t="shared" si="19"/>
        <v>35</v>
      </c>
      <c r="M38" s="7" t="str">
        <f t="shared" si="1"/>
        <v>D9E</v>
      </c>
      <c r="N38" s="7" t="str">
        <f t="shared" si="2"/>
        <v>2021</v>
      </c>
      <c r="O38" s="3"/>
      <c r="P38" s="7">
        <f t="shared" si="14"/>
        <v>2</v>
      </c>
      <c r="Q38" s="7">
        <f>Q37</f>
        <v>17</v>
      </c>
      <c r="R38" s="7">
        <f t="shared" si="27"/>
        <v>30</v>
      </c>
      <c r="S38" s="7">
        <f t="shared" si="20"/>
        <v>35</v>
      </c>
      <c r="T38" s="7" t="str">
        <f t="shared" si="3"/>
        <v>157E</v>
      </c>
      <c r="U38" s="7" t="str">
        <f t="shared" si="4"/>
        <v>2801</v>
      </c>
      <c r="V38" s="3"/>
      <c r="X38" s="7">
        <f t="shared" si="15"/>
        <v>7</v>
      </c>
      <c r="Y38" s="7">
        <f>Y37</f>
        <v>17</v>
      </c>
      <c r="Z38" s="7">
        <f t="shared" si="28"/>
        <v>30</v>
      </c>
      <c r="AA38" s="7">
        <f t="shared" si="21"/>
        <v>35</v>
      </c>
      <c r="AB38" s="7" t="str">
        <f t="shared" si="5"/>
        <v>3CDE</v>
      </c>
      <c r="AC38" s="7" t="str">
        <f t="shared" si="6"/>
        <v>4F61</v>
      </c>
      <c r="AD38" s="3"/>
      <c r="AF38" s="7">
        <f t="shared" si="16"/>
        <v>21</v>
      </c>
      <c r="AG38" s="7">
        <f>AG37</f>
        <v>17</v>
      </c>
      <c r="AH38" s="7">
        <f t="shared" si="29"/>
        <v>30</v>
      </c>
      <c r="AI38" s="7">
        <f t="shared" si="22"/>
        <v>35</v>
      </c>
      <c r="AJ38" s="7" t="str">
        <f t="shared" si="7"/>
        <v>AB1E</v>
      </c>
      <c r="AK38" s="7" t="str">
        <f t="shared" si="8"/>
        <v>BDA1</v>
      </c>
      <c r="AL38" s="3"/>
      <c r="AM38" s="3"/>
      <c r="AN38" s="7">
        <f t="shared" si="17"/>
        <v>34</v>
      </c>
      <c r="AO38" s="7">
        <f>AO37</f>
        <v>17</v>
      </c>
      <c r="AP38" s="7">
        <f t="shared" si="30"/>
        <v>30</v>
      </c>
      <c r="AQ38" s="7">
        <f t="shared" si="23"/>
        <v>35</v>
      </c>
      <c r="AR38" s="7" t="str">
        <f t="shared" si="9"/>
        <v>1117E</v>
      </c>
      <c r="AS38" s="7" t="str">
        <f t="shared" si="10"/>
        <v>12401</v>
      </c>
      <c r="AT38" s="3"/>
      <c r="AU38" s="3"/>
      <c r="AV38" s="7">
        <f t="shared" si="32"/>
        <v>60</v>
      </c>
      <c r="AW38" s="7">
        <f>AW37</f>
        <v>17</v>
      </c>
      <c r="AX38" s="7">
        <f t="shared" si="31"/>
        <v>30</v>
      </c>
      <c r="AY38" s="7">
        <f t="shared" si="24"/>
        <v>35</v>
      </c>
      <c r="AZ38" s="7" t="str">
        <f t="shared" si="11"/>
        <v>1DE3E</v>
      </c>
      <c r="BA38" s="7" t="str">
        <f t="shared" si="12"/>
        <v>1F0C1</v>
      </c>
      <c r="BB38" s="3"/>
    </row>
    <row r="39" spans="2:54" x14ac:dyDescent="0.25">
      <c r="B39" s="7">
        <v>0</v>
      </c>
      <c r="C39" s="7">
        <f>SUM(C37+1)</f>
        <v>18</v>
      </c>
      <c r="D39" s="7">
        <f t="shared" si="25"/>
        <v>0</v>
      </c>
      <c r="E39" s="7">
        <f t="shared" si="18"/>
        <v>36</v>
      </c>
      <c r="F39" s="7" t="str">
        <f t="shared" si="13"/>
        <v>5E8</v>
      </c>
      <c r="G39" s="7" t="str">
        <f t="shared" si="0"/>
        <v>186B</v>
      </c>
      <c r="H39" s="3"/>
      <c r="I39" s="7">
        <v>1</v>
      </c>
      <c r="J39" s="7">
        <f>SUM(J37+1)</f>
        <v>18</v>
      </c>
      <c r="K39" s="7">
        <f t="shared" si="26"/>
        <v>0</v>
      </c>
      <c r="L39" s="7">
        <f t="shared" si="19"/>
        <v>36</v>
      </c>
      <c r="M39" s="7" t="str">
        <f t="shared" si="1"/>
        <v>DC8</v>
      </c>
      <c r="N39" s="7" t="str">
        <f t="shared" si="2"/>
        <v>204B</v>
      </c>
      <c r="O39" s="3"/>
      <c r="P39" s="7">
        <f t="shared" si="14"/>
        <v>2</v>
      </c>
      <c r="Q39" s="7">
        <f>SUM(Q37+1)</f>
        <v>18</v>
      </c>
      <c r="R39" s="7">
        <f t="shared" si="27"/>
        <v>0</v>
      </c>
      <c r="S39" s="7">
        <f t="shared" si="20"/>
        <v>36</v>
      </c>
      <c r="T39" s="7" t="str">
        <f t="shared" si="3"/>
        <v>15A8</v>
      </c>
      <c r="U39" s="7" t="str">
        <f t="shared" si="4"/>
        <v>282B</v>
      </c>
      <c r="V39" s="3"/>
      <c r="X39" s="7">
        <f t="shared" si="15"/>
        <v>7</v>
      </c>
      <c r="Y39" s="7">
        <f>SUM(Y37+1)</f>
        <v>18</v>
      </c>
      <c r="Z39" s="7">
        <f t="shared" si="28"/>
        <v>0</v>
      </c>
      <c r="AA39" s="7">
        <f t="shared" si="21"/>
        <v>36</v>
      </c>
      <c r="AB39" s="7" t="str">
        <f t="shared" si="5"/>
        <v>3D08</v>
      </c>
      <c r="AC39" s="7" t="str">
        <f t="shared" si="6"/>
        <v>4F8B</v>
      </c>
      <c r="AD39" s="3"/>
      <c r="AF39" s="7">
        <f t="shared" si="16"/>
        <v>21</v>
      </c>
      <c r="AG39" s="7">
        <f>SUM(AG37+1)</f>
        <v>18</v>
      </c>
      <c r="AH39" s="7">
        <f t="shared" si="29"/>
        <v>0</v>
      </c>
      <c r="AI39" s="7">
        <f t="shared" si="22"/>
        <v>36</v>
      </c>
      <c r="AJ39" s="7" t="str">
        <f t="shared" si="7"/>
        <v>AB48</v>
      </c>
      <c r="AK39" s="7" t="str">
        <f t="shared" si="8"/>
        <v>BDCB</v>
      </c>
      <c r="AL39" s="3"/>
      <c r="AM39" s="3"/>
      <c r="AN39" s="7">
        <f t="shared" si="17"/>
        <v>34</v>
      </c>
      <c r="AO39" s="7">
        <f>SUM(AO37+1)</f>
        <v>18</v>
      </c>
      <c r="AP39" s="7">
        <f t="shared" si="30"/>
        <v>0</v>
      </c>
      <c r="AQ39" s="7">
        <f t="shared" si="23"/>
        <v>36</v>
      </c>
      <c r="AR39" s="7" t="str">
        <f t="shared" si="9"/>
        <v>111A8</v>
      </c>
      <c r="AS39" s="7" t="str">
        <f t="shared" si="10"/>
        <v>1242B</v>
      </c>
      <c r="AT39" s="3"/>
      <c r="AU39" s="3"/>
      <c r="AV39" s="7">
        <f t="shared" si="32"/>
        <v>60</v>
      </c>
      <c r="AW39" s="7">
        <f>SUM(AW37+1)</f>
        <v>18</v>
      </c>
      <c r="AX39" s="7">
        <f t="shared" si="31"/>
        <v>0</v>
      </c>
      <c r="AY39" s="7">
        <f t="shared" si="24"/>
        <v>36</v>
      </c>
      <c r="AZ39" s="7" t="str">
        <f t="shared" si="11"/>
        <v>1DE68</v>
      </c>
      <c r="BA39" s="7" t="str">
        <f t="shared" si="12"/>
        <v>1F0EB</v>
      </c>
      <c r="BB39" s="3"/>
    </row>
    <row r="40" spans="2:54" x14ac:dyDescent="0.25">
      <c r="B40" s="7">
        <v>0</v>
      </c>
      <c r="C40" s="7">
        <f>C39</f>
        <v>18</v>
      </c>
      <c r="D40" s="7">
        <f t="shared" si="25"/>
        <v>30</v>
      </c>
      <c r="E40" s="7">
        <f t="shared" si="18"/>
        <v>37</v>
      </c>
      <c r="F40" s="7" t="str">
        <f t="shared" si="13"/>
        <v>612</v>
      </c>
      <c r="G40" s="7" t="str">
        <f t="shared" si="0"/>
        <v>1895</v>
      </c>
      <c r="H40" s="3"/>
      <c r="I40" s="7">
        <v>1</v>
      </c>
      <c r="J40" s="7">
        <f>J39</f>
        <v>18</v>
      </c>
      <c r="K40" s="7">
        <f t="shared" si="26"/>
        <v>30</v>
      </c>
      <c r="L40" s="7">
        <f t="shared" si="19"/>
        <v>37</v>
      </c>
      <c r="M40" s="7" t="str">
        <f t="shared" si="1"/>
        <v>DF2</v>
      </c>
      <c r="N40" s="7" t="str">
        <f t="shared" si="2"/>
        <v>2075</v>
      </c>
      <c r="O40" s="3"/>
      <c r="P40" s="7">
        <f t="shared" si="14"/>
        <v>2</v>
      </c>
      <c r="Q40" s="7">
        <f>Q39</f>
        <v>18</v>
      </c>
      <c r="R40" s="7">
        <f t="shared" si="27"/>
        <v>30</v>
      </c>
      <c r="S40" s="7">
        <f t="shared" si="20"/>
        <v>37</v>
      </c>
      <c r="T40" s="7" t="str">
        <f t="shared" si="3"/>
        <v>15D2</v>
      </c>
      <c r="U40" s="7" t="str">
        <f t="shared" si="4"/>
        <v>2855</v>
      </c>
      <c r="V40" s="3"/>
      <c r="X40" s="7">
        <f t="shared" si="15"/>
        <v>7</v>
      </c>
      <c r="Y40" s="7">
        <f>Y39</f>
        <v>18</v>
      </c>
      <c r="Z40" s="7">
        <f t="shared" si="28"/>
        <v>30</v>
      </c>
      <c r="AA40" s="7">
        <f t="shared" si="21"/>
        <v>37</v>
      </c>
      <c r="AB40" s="7" t="str">
        <f t="shared" si="5"/>
        <v>3D32</v>
      </c>
      <c r="AC40" s="7" t="str">
        <f t="shared" si="6"/>
        <v>4FB5</v>
      </c>
      <c r="AD40" s="3"/>
      <c r="AF40" s="7">
        <f t="shared" si="16"/>
        <v>21</v>
      </c>
      <c r="AG40" s="7">
        <f>AG39</f>
        <v>18</v>
      </c>
      <c r="AH40" s="7">
        <f t="shared" si="29"/>
        <v>30</v>
      </c>
      <c r="AI40" s="7">
        <f t="shared" si="22"/>
        <v>37</v>
      </c>
      <c r="AJ40" s="7" t="str">
        <f t="shared" si="7"/>
        <v>AB72</v>
      </c>
      <c r="AK40" s="7" t="str">
        <f t="shared" si="8"/>
        <v>BDF5</v>
      </c>
      <c r="AL40" s="3"/>
      <c r="AM40" s="3"/>
      <c r="AN40" s="7">
        <f t="shared" si="17"/>
        <v>34</v>
      </c>
      <c r="AO40" s="7">
        <f>AO39</f>
        <v>18</v>
      </c>
      <c r="AP40" s="7">
        <f t="shared" si="30"/>
        <v>30</v>
      </c>
      <c r="AQ40" s="7">
        <f t="shared" si="23"/>
        <v>37</v>
      </c>
      <c r="AR40" s="7" t="str">
        <f t="shared" si="9"/>
        <v>111D2</v>
      </c>
      <c r="AS40" s="7" t="str">
        <f t="shared" si="10"/>
        <v>12455</v>
      </c>
      <c r="AT40" s="3"/>
      <c r="AU40" s="3"/>
      <c r="AV40" s="7">
        <f t="shared" si="32"/>
        <v>60</v>
      </c>
      <c r="AW40" s="7">
        <f>AW39</f>
        <v>18</v>
      </c>
      <c r="AX40" s="7">
        <f t="shared" si="31"/>
        <v>30</v>
      </c>
      <c r="AY40" s="7">
        <f t="shared" si="24"/>
        <v>37</v>
      </c>
      <c r="AZ40" s="7" t="str">
        <f t="shared" si="11"/>
        <v>1DE92</v>
      </c>
      <c r="BA40" s="7" t="str">
        <f t="shared" si="12"/>
        <v>1F115</v>
      </c>
      <c r="BB40" s="3"/>
    </row>
    <row r="41" spans="2:54" x14ac:dyDescent="0.25">
      <c r="B41" s="7">
        <v>0</v>
      </c>
      <c r="C41" s="7">
        <f>SUM(C39+1)</f>
        <v>19</v>
      </c>
      <c r="D41" s="7">
        <f t="shared" si="25"/>
        <v>0</v>
      </c>
      <c r="E41" s="7">
        <f t="shared" si="18"/>
        <v>38</v>
      </c>
      <c r="F41" s="7" t="str">
        <f t="shared" si="13"/>
        <v>63C</v>
      </c>
      <c r="G41" s="7" t="str">
        <f t="shared" si="0"/>
        <v>18BF</v>
      </c>
      <c r="H41" s="3"/>
      <c r="I41" s="7">
        <v>1</v>
      </c>
      <c r="J41" s="7">
        <f>SUM(J39+1)</f>
        <v>19</v>
      </c>
      <c r="K41" s="7">
        <f t="shared" si="26"/>
        <v>0</v>
      </c>
      <c r="L41" s="7">
        <f t="shared" si="19"/>
        <v>38</v>
      </c>
      <c r="M41" s="7" t="str">
        <f t="shared" si="1"/>
        <v>E1C</v>
      </c>
      <c r="N41" s="7" t="str">
        <f t="shared" si="2"/>
        <v>209F</v>
      </c>
      <c r="O41" s="3"/>
      <c r="P41" s="7">
        <f t="shared" si="14"/>
        <v>2</v>
      </c>
      <c r="Q41" s="7">
        <f>SUM(Q39+1)</f>
        <v>19</v>
      </c>
      <c r="R41" s="7">
        <f t="shared" si="27"/>
        <v>0</v>
      </c>
      <c r="S41" s="7">
        <f t="shared" si="20"/>
        <v>38</v>
      </c>
      <c r="T41" s="7" t="str">
        <f t="shared" si="3"/>
        <v>15FC</v>
      </c>
      <c r="U41" s="7" t="str">
        <f t="shared" si="4"/>
        <v>287F</v>
      </c>
      <c r="V41" s="3"/>
      <c r="X41" s="7">
        <f t="shared" si="15"/>
        <v>7</v>
      </c>
      <c r="Y41" s="7">
        <f>SUM(Y39+1)</f>
        <v>19</v>
      </c>
      <c r="Z41" s="7">
        <f t="shared" si="28"/>
        <v>0</v>
      </c>
      <c r="AA41" s="7">
        <f t="shared" si="21"/>
        <v>38</v>
      </c>
      <c r="AB41" s="7" t="str">
        <f t="shared" si="5"/>
        <v>3D5C</v>
      </c>
      <c r="AC41" s="7" t="str">
        <f t="shared" si="6"/>
        <v>4FDF</v>
      </c>
      <c r="AD41" s="3"/>
      <c r="AF41" s="7">
        <f t="shared" si="16"/>
        <v>21</v>
      </c>
      <c r="AG41" s="7">
        <f>SUM(AG39+1)</f>
        <v>19</v>
      </c>
      <c r="AH41" s="7">
        <f t="shared" si="29"/>
        <v>0</v>
      </c>
      <c r="AI41" s="7">
        <f t="shared" si="22"/>
        <v>38</v>
      </c>
      <c r="AJ41" s="7" t="str">
        <f t="shared" si="7"/>
        <v>AB9C</v>
      </c>
      <c r="AK41" s="7" t="str">
        <f t="shared" si="8"/>
        <v>BE1F</v>
      </c>
      <c r="AL41" s="3"/>
      <c r="AM41" s="3"/>
      <c r="AN41" s="7">
        <f t="shared" si="17"/>
        <v>34</v>
      </c>
      <c r="AO41" s="7">
        <f>SUM(AO39+1)</f>
        <v>19</v>
      </c>
      <c r="AP41" s="7">
        <f t="shared" si="30"/>
        <v>0</v>
      </c>
      <c r="AQ41" s="7">
        <f t="shared" si="23"/>
        <v>38</v>
      </c>
      <c r="AR41" s="7" t="str">
        <f t="shared" si="9"/>
        <v>111FC</v>
      </c>
      <c r="AS41" s="7" t="str">
        <f t="shared" si="10"/>
        <v>1247F</v>
      </c>
      <c r="AT41" s="3"/>
      <c r="AU41" s="3"/>
      <c r="AV41" s="7">
        <f t="shared" si="32"/>
        <v>60</v>
      </c>
      <c r="AW41" s="7">
        <f>SUM(AW39+1)</f>
        <v>19</v>
      </c>
      <c r="AX41" s="7">
        <f t="shared" si="31"/>
        <v>0</v>
      </c>
      <c r="AY41" s="7">
        <f t="shared" si="24"/>
        <v>38</v>
      </c>
      <c r="AZ41" s="7" t="str">
        <f t="shared" si="11"/>
        <v>1DEBC</v>
      </c>
      <c r="BA41" s="7" t="str">
        <f t="shared" si="12"/>
        <v>1F13F</v>
      </c>
      <c r="BB41" s="3"/>
    </row>
    <row r="42" spans="2:54" x14ac:dyDescent="0.25">
      <c r="B42" s="7">
        <v>0</v>
      </c>
      <c r="C42" s="7">
        <f>C41</f>
        <v>19</v>
      </c>
      <c r="D42" s="7">
        <f t="shared" si="25"/>
        <v>30</v>
      </c>
      <c r="E42" s="7">
        <f t="shared" si="18"/>
        <v>39</v>
      </c>
      <c r="F42" s="7" t="str">
        <f t="shared" si="13"/>
        <v>666</v>
      </c>
      <c r="G42" s="7" t="str">
        <f t="shared" si="0"/>
        <v>18E9</v>
      </c>
      <c r="H42" s="3"/>
      <c r="I42" s="7">
        <v>1</v>
      </c>
      <c r="J42" s="7">
        <f>J41</f>
        <v>19</v>
      </c>
      <c r="K42" s="7">
        <f t="shared" si="26"/>
        <v>30</v>
      </c>
      <c r="L42" s="7">
        <f t="shared" si="19"/>
        <v>39</v>
      </c>
      <c r="M42" s="7" t="str">
        <f t="shared" si="1"/>
        <v>E46</v>
      </c>
      <c r="N42" s="7" t="str">
        <f t="shared" si="2"/>
        <v>20C9</v>
      </c>
      <c r="O42" s="3"/>
      <c r="P42" s="7">
        <f t="shared" si="14"/>
        <v>2</v>
      </c>
      <c r="Q42" s="7">
        <f>Q41</f>
        <v>19</v>
      </c>
      <c r="R42" s="7">
        <f t="shared" si="27"/>
        <v>30</v>
      </c>
      <c r="S42" s="7">
        <f t="shared" si="20"/>
        <v>39</v>
      </c>
      <c r="T42" s="7" t="str">
        <f t="shared" si="3"/>
        <v>1626</v>
      </c>
      <c r="U42" s="7" t="str">
        <f t="shared" si="4"/>
        <v>28A9</v>
      </c>
      <c r="V42" s="3"/>
      <c r="X42" s="7">
        <f t="shared" si="15"/>
        <v>7</v>
      </c>
      <c r="Y42" s="7">
        <f>Y41</f>
        <v>19</v>
      </c>
      <c r="Z42" s="7">
        <f t="shared" si="28"/>
        <v>30</v>
      </c>
      <c r="AA42" s="7">
        <f t="shared" si="21"/>
        <v>39</v>
      </c>
      <c r="AB42" s="7" t="str">
        <f t="shared" si="5"/>
        <v>3D86</v>
      </c>
      <c r="AC42" s="7" t="str">
        <f t="shared" si="6"/>
        <v>5009</v>
      </c>
      <c r="AD42" s="3"/>
      <c r="AF42" s="7">
        <f t="shared" si="16"/>
        <v>21</v>
      </c>
      <c r="AG42" s="7">
        <f>AG41</f>
        <v>19</v>
      </c>
      <c r="AH42" s="7">
        <f t="shared" si="29"/>
        <v>30</v>
      </c>
      <c r="AI42" s="7">
        <f t="shared" si="22"/>
        <v>39</v>
      </c>
      <c r="AJ42" s="7" t="str">
        <f t="shared" si="7"/>
        <v>ABC6</v>
      </c>
      <c r="AK42" s="7" t="str">
        <f t="shared" si="8"/>
        <v>BE49</v>
      </c>
      <c r="AL42" s="3"/>
      <c r="AM42" s="3"/>
      <c r="AN42" s="7">
        <f t="shared" si="17"/>
        <v>34</v>
      </c>
      <c r="AO42" s="7">
        <f>AO41</f>
        <v>19</v>
      </c>
      <c r="AP42" s="7">
        <f t="shared" si="30"/>
        <v>30</v>
      </c>
      <c r="AQ42" s="7">
        <f t="shared" si="23"/>
        <v>39</v>
      </c>
      <c r="AR42" s="7" t="str">
        <f t="shared" si="9"/>
        <v>11226</v>
      </c>
      <c r="AS42" s="7" t="str">
        <f t="shared" si="10"/>
        <v>124A9</v>
      </c>
      <c r="AT42" s="3"/>
      <c r="AU42" s="3"/>
      <c r="AV42" s="7">
        <f t="shared" si="32"/>
        <v>60</v>
      </c>
      <c r="AW42" s="7">
        <f>AW41</f>
        <v>19</v>
      </c>
      <c r="AX42" s="7">
        <f t="shared" si="31"/>
        <v>30</v>
      </c>
      <c r="AY42" s="7">
        <f t="shared" si="24"/>
        <v>39</v>
      </c>
      <c r="AZ42" s="7" t="str">
        <f t="shared" si="11"/>
        <v>1DEE6</v>
      </c>
      <c r="BA42" s="7" t="str">
        <f t="shared" si="12"/>
        <v>1F169</v>
      </c>
      <c r="BB42" s="3"/>
    </row>
    <row r="43" spans="2:54" x14ac:dyDescent="0.25">
      <c r="B43" s="7">
        <v>0</v>
      </c>
      <c r="C43" s="7">
        <f>SUM(C41+1)</f>
        <v>20</v>
      </c>
      <c r="D43" s="7">
        <f t="shared" si="25"/>
        <v>0</v>
      </c>
      <c r="E43" s="7">
        <f t="shared" si="18"/>
        <v>40</v>
      </c>
      <c r="F43" s="7" t="str">
        <f t="shared" si="13"/>
        <v>690</v>
      </c>
      <c r="G43" s="7" t="str">
        <f t="shared" si="0"/>
        <v>1913</v>
      </c>
      <c r="H43" s="3"/>
      <c r="I43" s="7">
        <v>1</v>
      </c>
      <c r="J43" s="7">
        <f>SUM(J41+1)</f>
        <v>20</v>
      </c>
      <c r="K43" s="7">
        <f t="shared" si="26"/>
        <v>0</v>
      </c>
      <c r="L43" s="7">
        <f t="shared" si="19"/>
        <v>40</v>
      </c>
      <c r="M43" s="7" t="str">
        <f t="shared" si="1"/>
        <v>E70</v>
      </c>
      <c r="N43" s="7" t="str">
        <f t="shared" si="2"/>
        <v>20F3</v>
      </c>
      <c r="O43" s="3"/>
      <c r="P43" s="7">
        <f t="shared" si="14"/>
        <v>2</v>
      </c>
      <c r="Q43" s="7">
        <f>SUM(Q41+1)</f>
        <v>20</v>
      </c>
      <c r="R43" s="7">
        <f t="shared" si="27"/>
        <v>0</v>
      </c>
      <c r="S43" s="7">
        <f t="shared" si="20"/>
        <v>40</v>
      </c>
      <c r="T43" s="7" t="str">
        <f t="shared" si="3"/>
        <v>1650</v>
      </c>
      <c r="U43" s="7" t="str">
        <f t="shared" si="4"/>
        <v>28D3</v>
      </c>
      <c r="V43" s="3"/>
      <c r="X43" s="7">
        <f t="shared" si="15"/>
        <v>7</v>
      </c>
      <c r="Y43" s="7">
        <f>SUM(Y41+1)</f>
        <v>20</v>
      </c>
      <c r="Z43" s="7">
        <f t="shared" si="28"/>
        <v>0</v>
      </c>
      <c r="AA43" s="7">
        <f t="shared" si="21"/>
        <v>40</v>
      </c>
      <c r="AB43" s="7" t="str">
        <f t="shared" si="5"/>
        <v>3DB0</v>
      </c>
      <c r="AC43" s="7" t="str">
        <f t="shared" si="6"/>
        <v>5033</v>
      </c>
      <c r="AD43" s="3"/>
      <c r="AF43" s="7">
        <f t="shared" si="16"/>
        <v>21</v>
      </c>
      <c r="AG43" s="7">
        <f>SUM(AG41+1)</f>
        <v>20</v>
      </c>
      <c r="AH43" s="7">
        <f t="shared" si="29"/>
        <v>0</v>
      </c>
      <c r="AI43" s="7">
        <f t="shared" si="22"/>
        <v>40</v>
      </c>
      <c r="AJ43" s="7" t="str">
        <f t="shared" si="7"/>
        <v>ABF0</v>
      </c>
      <c r="AK43" s="7" t="str">
        <f t="shared" si="8"/>
        <v>BE73</v>
      </c>
      <c r="AL43" s="3"/>
      <c r="AM43" s="3"/>
      <c r="AN43" s="7">
        <f t="shared" si="17"/>
        <v>34</v>
      </c>
      <c r="AO43" s="7">
        <f>SUM(AO41+1)</f>
        <v>20</v>
      </c>
      <c r="AP43" s="7">
        <f t="shared" si="30"/>
        <v>0</v>
      </c>
      <c r="AQ43" s="7">
        <f t="shared" si="23"/>
        <v>40</v>
      </c>
      <c r="AR43" s="7" t="str">
        <f t="shared" si="9"/>
        <v>11250</v>
      </c>
      <c r="AS43" s="7" t="str">
        <f t="shared" si="10"/>
        <v>124D3</v>
      </c>
      <c r="AT43" s="3"/>
      <c r="AU43" s="3"/>
      <c r="AV43" s="7">
        <f t="shared" si="32"/>
        <v>60</v>
      </c>
      <c r="AW43" s="7">
        <f>SUM(AW41+1)</f>
        <v>20</v>
      </c>
      <c r="AX43" s="7">
        <f t="shared" si="31"/>
        <v>0</v>
      </c>
      <c r="AY43" s="7">
        <f t="shared" si="24"/>
        <v>40</v>
      </c>
      <c r="AZ43" s="7" t="str">
        <f t="shared" si="11"/>
        <v>1DF10</v>
      </c>
      <c r="BA43" s="7" t="str">
        <f t="shared" si="12"/>
        <v>1F193</v>
      </c>
      <c r="BB43" s="3"/>
    </row>
    <row r="44" spans="2:54" x14ac:dyDescent="0.25">
      <c r="B44" s="7">
        <v>0</v>
      </c>
      <c r="C44" s="7">
        <f>C43</f>
        <v>20</v>
      </c>
      <c r="D44" s="7">
        <f t="shared" si="25"/>
        <v>30</v>
      </c>
      <c r="E44" s="7">
        <f t="shared" si="18"/>
        <v>41</v>
      </c>
      <c r="F44" s="7" t="str">
        <f t="shared" si="13"/>
        <v>6BA</v>
      </c>
      <c r="G44" s="7" t="str">
        <f t="shared" si="0"/>
        <v>193D</v>
      </c>
      <c r="H44" s="3"/>
      <c r="I44" s="7">
        <v>1</v>
      </c>
      <c r="J44" s="7">
        <f>J43</f>
        <v>20</v>
      </c>
      <c r="K44" s="7">
        <f t="shared" si="26"/>
        <v>30</v>
      </c>
      <c r="L44" s="7">
        <f t="shared" si="19"/>
        <v>41</v>
      </c>
      <c r="M44" s="7" t="str">
        <f t="shared" si="1"/>
        <v>E9A</v>
      </c>
      <c r="N44" s="7" t="str">
        <f t="shared" si="2"/>
        <v>211D</v>
      </c>
      <c r="O44" s="3"/>
      <c r="P44" s="7">
        <f t="shared" si="14"/>
        <v>2</v>
      </c>
      <c r="Q44" s="7">
        <f>Q43</f>
        <v>20</v>
      </c>
      <c r="R44" s="7">
        <f t="shared" si="27"/>
        <v>30</v>
      </c>
      <c r="S44" s="7">
        <f t="shared" si="20"/>
        <v>41</v>
      </c>
      <c r="T44" s="7" t="str">
        <f t="shared" si="3"/>
        <v>167A</v>
      </c>
      <c r="U44" s="7" t="str">
        <f t="shared" si="4"/>
        <v>28FD</v>
      </c>
      <c r="V44" s="3"/>
      <c r="X44" s="7">
        <f t="shared" si="15"/>
        <v>7</v>
      </c>
      <c r="Y44" s="7">
        <f>Y43</f>
        <v>20</v>
      </c>
      <c r="Z44" s="7">
        <f t="shared" si="28"/>
        <v>30</v>
      </c>
      <c r="AA44" s="7">
        <f t="shared" si="21"/>
        <v>41</v>
      </c>
      <c r="AB44" s="7" t="str">
        <f t="shared" si="5"/>
        <v>3DDA</v>
      </c>
      <c r="AC44" s="7" t="str">
        <f t="shared" si="6"/>
        <v>505D</v>
      </c>
      <c r="AD44" s="3"/>
      <c r="AF44" s="7">
        <f t="shared" si="16"/>
        <v>21</v>
      </c>
      <c r="AG44" s="7">
        <f>AG43</f>
        <v>20</v>
      </c>
      <c r="AH44" s="7">
        <f t="shared" si="29"/>
        <v>30</v>
      </c>
      <c r="AI44" s="7">
        <f t="shared" si="22"/>
        <v>41</v>
      </c>
      <c r="AJ44" s="7" t="str">
        <f t="shared" si="7"/>
        <v>AC1A</v>
      </c>
      <c r="AK44" s="7" t="str">
        <f t="shared" si="8"/>
        <v>BE9D</v>
      </c>
      <c r="AL44" s="3"/>
      <c r="AM44" s="3"/>
      <c r="AN44" s="7">
        <f t="shared" si="17"/>
        <v>34</v>
      </c>
      <c r="AO44" s="7">
        <f>AO43</f>
        <v>20</v>
      </c>
      <c r="AP44" s="7">
        <f t="shared" si="30"/>
        <v>30</v>
      </c>
      <c r="AQ44" s="7">
        <f t="shared" si="23"/>
        <v>41</v>
      </c>
      <c r="AR44" s="7" t="str">
        <f t="shared" si="9"/>
        <v>1127A</v>
      </c>
      <c r="AS44" s="7" t="str">
        <f t="shared" si="10"/>
        <v>124FD</v>
      </c>
      <c r="AT44" s="3"/>
      <c r="AU44" s="3"/>
      <c r="AV44" s="7">
        <f t="shared" si="32"/>
        <v>60</v>
      </c>
      <c r="AW44" s="7">
        <f>AW43</f>
        <v>20</v>
      </c>
      <c r="AX44" s="7">
        <f t="shared" si="31"/>
        <v>30</v>
      </c>
      <c r="AY44" s="7">
        <f t="shared" si="24"/>
        <v>41</v>
      </c>
      <c r="AZ44" s="7" t="str">
        <f t="shared" si="11"/>
        <v>1DF3A</v>
      </c>
      <c r="BA44" s="7" t="str">
        <f t="shared" si="12"/>
        <v>1F1BD</v>
      </c>
      <c r="BB44" s="3"/>
    </row>
    <row r="45" spans="2:54" x14ac:dyDescent="0.25">
      <c r="B45" s="7">
        <v>0</v>
      </c>
      <c r="C45" s="7">
        <f>SUM(C43+1)</f>
        <v>21</v>
      </c>
      <c r="D45" s="7">
        <f t="shared" si="25"/>
        <v>0</v>
      </c>
      <c r="E45" s="7">
        <f t="shared" si="18"/>
        <v>42</v>
      </c>
      <c r="F45" s="7" t="str">
        <f t="shared" si="13"/>
        <v>6E4</v>
      </c>
      <c r="G45" s="7" t="str">
        <f t="shared" si="0"/>
        <v>1967</v>
      </c>
      <c r="H45" s="3"/>
      <c r="I45" s="7">
        <v>1</v>
      </c>
      <c r="J45" s="7">
        <f>SUM(J43+1)</f>
        <v>21</v>
      </c>
      <c r="K45" s="7">
        <f t="shared" si="26"/>
        <v>0</v>
      </c>
      <c r="L45" s="7">
        <f t="shared" si="19"/>
        <v>42</v>
      </c>
      <c r="M45" s="7" t="str">
        <f t="shared" si="1"/>
        <v>EC4</v>
      </c>
      <c r="N45" s="7" t="str">
        <f t="shared" si="2"/>
        <v>2147</v>
      </c>
      <c r="O45" s="3"/>
      <c r="P45" s="7">
        <f t="shared" si="14"/>
        <v>2</v>
      </c>
      <c r="Q45" s="7">
        <f>SUM(Q43+1)</f>
        <v>21</v>
      </c>
      <c r="R45" s="7">
        <f t="shared" si="27"/>
        <v>0</v>
      </c>
      <c r="S45" s="7">
        <f t="shared" si="20"/>
        <v>42</v>
      </c>
      <c r="T45" s="7" t="str">
        <f t="shared" si="3"/>
        <v>16A4</v>
      </c>
      <c r="U45" s="7" t="str">
        <f t="shared" si="4"/>
        <v>2927</v>
      </c>
      <c r="V45" s="3"/>
      <c r="X45" s="7">
        <f t="shared" si="15"/>
        <v>7</v>
      </c>
      <c r="Y45" s="7">
        <f>SUM(Y43+1)</f>
        <v>21</v>
      </c>
      <c r="Z45" s="7">
        <f t="shared" si="28"/>
        <v>0</v>
      </c>
      <c r="AA45" s="7">
        <f t="shared" si="21"/>
        <v>42</v>
      </c>
      <c r="AB45" s="7" t="str">
        <f t="shared" si="5"/>
        <v>3E04</v>
      </c>
      <c r="AC45" s="7" t="str">
        <f t="shared" si="6"/>
        <v>5087</v>
      </c>
      <c r="AD45" s="3"/>
      <c r="AF45" s="7">
        <f t="shared" si="16"/>
        <v>21</v>
      </c>
      <c r="AG45" s="7">
        <f>SUM(AG43+1)</f>
        <v>21</v>
      </c>
      <c r="AH45" s="7">
        <f t="shared" si="29"/>
        <v>0</v>
      </c>
      <c r="AI45" s="7">
        <f t="shared" si="22"/>
        <v>42</v>
      </c>
      <c r="AJ45" s="7" t="str">
        <f t="shared" si="7"/>
        <v>AC44</v>
      </c>
      <c r="AK45" s="7" t="str">
        <f t="shared" si="8"/>
        <v>BEC7</v>
      </c>
      <c r="AL45" s="3"/>
      <c r="AM45" s="3"/>
      <c r="AN45" s="7">
        <f t="shared" si="17"/>
        <v>34</v>
      </c>
      <c r="AO45" s="7">
        <f>SUM(AO43+1)</f>
        <v>21</v>
      </c>
      <c r="AP45" s="7">
        <f t="shared" si="30"/>
        <v>0</v>
      </c>
      <c r="AQ45" s="7">
        <f t="shared" si="23"/>
        <v>42</v>
      </c>
      <c r="AR45" s="7" t="str">
        <f t="shared" si="9"/>
        <v>112A4</v>
      </c>
      <c r="AS45" s="7" t="str">
        <f t="shared" si="10"/>
        <v>12527</v>
      </c>
      <c r="AT45" s="3"/>
      <c r="AU45" s="3"/>
      <c r="AV45" s="7">
        <f t="shared" si="32"/>
        <v>60</v>
      </c>
      <c r="AW45" s="7">
        <f>SUM(AW43+1)</f>
        <v>21</v>
      </c>
      <c r="AX45" s="7">
        <f t="shared" si="31"/>
        <v>0</v>
      </c>
      <c r="AY45" s="7">
        <f t="shared" si="24"/>
        <v>42</v>
      </c>
      <c r="AZ45" s="7" t="str">
        <f t="shared" si="11"/>
        <v>1DF64</v>
      </c>
      <c r="BA45" s="7" t="str">
        <f t="shared" si="12"/>
        <v>1F1E7</v>
      </c>
      <c r="BB45" s="3"/>
    </row>
    <row r="46" spans="2:54" x14ac:dyDescent="0.25">
      <c r="B46" s="7">
        <v>0</v>
      </c>
      <c r="C46" s="7">
        <f>C45</f>
        <v>21</v>
      </c>
      <c r="D46" s="7">
        <f t="shared" si="25"/>
        <v>30</v>
      </c>
      <c r="E46" s="7">
        <f t="shared" si="18"/>
        <v>43</v>
      </c>
      <c r="F46" s="7" t="str">
        <f t="shared" si="13"/>
        <v>70E</v>
      </c>
      <c r="G46" s="7" t="str">
        <f t="shared" si="0"/>
        <v>1991</v>
      </c>
      <c r="H46" s="3"/>
      <c r="I46" s="7">
        <v>1</v>
      </c>
      <c r="J46" s="7">
        <f>J45</f>
        <v>21</v>
      </c>
      <c r="K46" s="7">
        <f t="shared" si="26"/>
        <v>30</v>
      </c>
      <c r="L46" s="7">
        <f t="shared" si="19"/>
        <v>43</v>
      </c>
      <c r="M46" s="7" t="str">
        <f t="shared" si="1"/>
        <v>EEE</v>
      </c>
      <c r="N46" s="7" t="str">
        <f t="shared" si="2"/>
        <v>2171</v>
      </c>
      <c r="O46" s="3"/>
      <c r="P46" s="7">
        <f t="shared" si="14"/>
        <v>2</v>
      </c>
      <c r="Q46" s="7">
        <f>Q45</f>
        <v>21</v>
      </c>
      <c r="R46" s="7">
        <f t="shared" si="27"/>
        <v>30</v>
      </c>
      <c r="S46" s="7">
        <f t="shared" si="20"/>
        <v>43</v>
      </c>
      <c r="T46" s="7" t="str">
        <f t="shared" si="3"/>
        <v>16CE</v>
      </c>
      <c r="U46" s="7" t="str">
        <f t="shared" si="4"/>
        <v>2951</v>
      </c>
      <c r="V46" s="3"/>
      <c r="X46" s="7">
        <f t="shared" si="15"/>
        <v>7</v>
      </c>
      <c r="Y46" s="7">
        <f>Y45</f>
        <v>21</v>
      </c>
      <c r="Z46" s="7">
        <f t="shared" si="28"/>
        <v>30</v>
      </c>
      <c r="AA46" s="7">
        <f t="shared" si="21"/>
        <v>43</v>
      </c>
      <c r="AB46" s="7" t="str">
        <f t="shared" si="5"/>
        <v>3E2E</v>
      </c>
      <c r="AC46" s="7" t="str">
        <f t="shared" si="6"/>
        <v>50B1</v>
      </c>
      <c r="AD46" s="3"/>
      <c r="AF46" s="7">
        <f t="shared" si="16"/>
        <v>21</v>
      </c>
      <c r="AG46" s="7">
        <f>AG45</f>
        <v>21</v>
      </c>
      <c r="AH46" s="7">
        <f t="shared" si="29"/>
        <v>30</v>
      </c>
      <c r="AI46" s="7">
        <f t="shared" si="22"/>
        <v>43</v>
      </c>
      <c r="AJ46" s="7" t="str">
        <f t="shared" si="7"/>
        <v>AC6E</v>
      </c>
      <c r="AK46" s="7" t="str">
        <f t="shared" si="8"/>
        <v>BEF1</v>
      </c>
      <c r="AL46" s="3"/>
      <c r="AM46" s="3"/>
      <c r="AN46" s="7">
        <f t="shared" si="17"/>
        <v>34</v>
      </c>
      <c r="AO46" s="7">
        <f>AO45</f>
        <v>21</v>
      </c>
      <c r="AP46" s="7">
        <f t="shared" si="30"/>
        <v>30</v>
      </c>
      <c r="AQ46" s="7">
        <f t="shared" si="23"/>
        <v>43</v>
      </c>
      <c r="AR46" s="7" t="str">
        <f t="shared" si="9"/>
        <v>112CE</v>
      </c>
      <c r="AS46" s="7" t="str">
        <f t="shared" si="10"/>
        <v>12551</v>
      </c>
      <c r="AT46" s="3"/>
      <c r="AU46" s="3"/>
      <c r="AV46" s="7">
        <f t="shared" si="32"/>
        <v>60</v>
      </c>
      <c r="AW46" s="7">
        <f>AW45</f>
        <v>21</v>
      </c>
      <c r="AX46" s="7">
        <f t="shared" si="31"/>
        <v>30</v>
      </c>
      <c r="AY46" s="7">
        <f t="shared" si="24"/>
        <v>43</v>
      </c>
      <c r="AZ46" s="7" t="str">
        <f t="shared" si="11"/>
        <v>1DF8E</v>
      </c>
      <c r="BA46" s="7" t="str">
        <f t="shared" si="12"/>
        <v>1F211</v>
      </c>
      <c r="BB46" s="3"/>
    </row>
    <row r="47" spans="2:54" x14ac:dyDescent="0.25">
      <c r="B47" s="7">
        <v>0</v>
      </c>
      <c r="C47" s="7">
        <f>SUM(C45+1)</f>
        <v>22</v>
      </c>
      <c r="D47" s="7">
        <f t="shared" si="25"/>
        <v>0</v>
      </c>
      <c r="E47" s="7">
        <f t="shared" si="18"/>
        <v>44</v>
      </c>
      <c r="F47" s="7" t="str">
        <f t="shared" si="13"/>
        <v>738</v>
      </c>
      <c r="G47" s="7" t="str">
        <f t="shared" si="0"/>
        <v>19BB</v>
      </c>
      <c r="H47" s="3"/>
      <c r="I47" s="7">
        <v>1</v>
      </c>
      <c r="J47" s="7">
        <f>SUM(J45+1)</f>
        <v>22</v>
      </c>
      <c r="K47" s="7">
        <f t="shared" si="26"/>
        <v>0</v>
      </c>
      <c r="L47" s="7">
        <f t="shared" si="19"/>
        <v>44</v>
      </c>
      <c r="M47" s="7" t="str">
        <f t="shared" si="1"/>
        <v>F18</v>
      </c>
      <c r="N47" s="7" t="str">
        <f t="shared" si="2"/>
        <v>219B</v>
      </c>
      <c r="O47" s="3"/>
      <c r="P47" s="7">
        <f t="shared" si="14"/>
        <v>2</v>
      </c>
      <c r="Q47" s="7">
        <f>SUM(Q45+1)</f>
        <v>22</v>
      </c>
      <c r="R47" s="7">
        <f t="shared" si="27"/>
        <v>0</v>
      </c>
      <c r="S47" s="7">
        <f t="shared" si="20"/>
        <v>44</v>
      </c>
      <c r="T47" s="7" t="str">
        <f t="shared" si="3"/>
        <v>16F8</v>
      </c>
      <c r="U47" s="7" t="str">
        <f t="shared" si="4"/>
        <v>297B</v>
      </c>
      <c r="V47" s="3"/>
      <c r="X47" s="7">
        <f t="shared" si="15"/>
        <v>7</v>
      </c>
      <c r="Y47" s="7">
        <f>SUM(Y45+1)</f>
        <v>22</v>
      </c>
      <c r="Z47" s="7">
        <f t="shared" si="28"/>
        <v>0</v>
      </c>
      <c r="AA47" s="7">
        <f t="shared" si="21"/>
        <v>44</v>
      </c>
      <c r="AB47" s="7" t="str">
        <f t="shared" si="5"/>
        <v>3E58</v>
      </c>
      <c r="AC47" s="7" t="str">
        <f t="shared" si="6"/>
        <v>50DB</v>
      </c>
      <c r="AD47" s="3"/>
      <c r="AF47" s="7">
        <f t="shared" si="16"/>
        <v>21</v>
      </c>
      <c r="AG47" s="7">
        <f>SUM(AG45+1)</f>
        <v>22</v>
      </c>
      <c r="AH47" s="7">
        <f t="shared" si="29"/>
        <v>0</v>
      </c>
      <c r="AI47" s="7">
        <f t="shared" si="22"/>
        <v>44</v>
      </c>
      <c r="AJ47" s="7" t="str">
        <f t="shared" si="7"/>
        <v>AC98</v>
      </c>
      <c r="AK47" s="7" t="str">
        <f t="shared" si="8"/>
        <v>BF1B</v>
      </c>
      <c r="AL47" s="3"/>
      <c r="AM47" s="3"/>
      <c r="AN47" s="7">
        <f t="shared" si="17"/>
        <v>34</v>
      </c>
      <c r="AO47" s="7">
        <f>SUM(AO45+1)</f>
        <v>22</v>
      </c>
      <c r="AP47" s="7">
        <f t="shared" si="30"/>
        <v>0</v>
      </c>
      <c r="AQ47" s="7">
        <f t="shared" si="23"/>
        <v>44</v>
      </c>
      <c r="AR47" s="7" t="str">
        <f t="shared" si="9"/>
        <v>112F8</v>
      </c>
      <c r="AS47" s="7" t="str">
        <f t="shared" si="10"/>
        <v>1257B</v>
      </c>
      <c r="AT47" s="3"/>
      <c r="AU47" s="3"/>
      <c r="AV47" s="7">
        <f t="shared" si="32"/>
        <v>60</v>
      </c>
      <c r="AW47" s="7">
        <f>SUM(AW45+1)</f>
        <v>22</v>
      </c>
      <c r="AX47" s="7">
        <f t="shared" si="31"/>
        <v>0</v>
      </c>
      <c r="AY47" s="7">
        <f t="shared" si="24"/>
        <v>44</v>
      </c>
      <c r="AZ47" s="7" t="str">
        <f t="shared" si="11"/>
        <v>1DFB8</v>
      </c>
      <c r="BA47" s="7" t="str">
        <f t="shared" si="12"/>
        <v>1F23B</v>
      </c>
      <c r="BB47" s="3"/>
    </row>
    <row r="48" spans="2:54" x14ac:dyDescent="0.25">
      <c r="B48" s="7">
        <v>0</v>
      </c>
      <c r="C48" s="7">
        <f>C47</f>
        <v>22</v>
      </c>
      <c r="D48" s="7">
        <f t="shared" si="25"/>
        <v>30</v>
      </c>
      <c r="E48" s="7">
        <f t="shared" si="18"/>
        <v>45</v>
      </c>
      <c r="F48" s="7" t="str">
        <f t="shared" si="13"/>
        <v>762</v>
      </c>
      <c r="G48" s="7" t="str">
        <f t="shared" si="0"/>
        <v>19E5</v>
      </c>
      <c r="H48" s="3"/>
      <c r="I48" s="7">
        <v>1</v>
      </c>
      <c r="J48" s="7">
        <f>J47</f>
        <v>22</v>
      </c>
      <c r="K48" s="7">
        <f t="shared" si="26"/>
        <v>30</v>
      </c>
      <c r="L48" s="7">
        <f t="shared" si="19"/>
        <v>45</v>
      </c>
      <c r="M48" s="7" t="str">
        <f t="shared" si="1"/>
        <v>F42</v>
      </c>
      <c r="N48" s="7" t="str">
        <f t="shared" si="2"/>
        <v>21C5</v>
      </c>
      <c r="O48" s="3"/>
      <c r="P48" s="7">
        <f t="shared" si="14"/>
        <v>2</v>
      </c>
      <c r="Q48" s="7">
        <f>Q47</f>
        <v>22</v>
      </c>
      <c r="R48" s="7">
        <f t="shared" si="27"/>
        <v>30</v>
      </c>
      <c r="S48" s="7">
        <f t="shared" si="20"/>
        <v>45</v>
      </c>
      <c r="T48" s="7" t="str">
        <f t="shared" si="3"/>
        <v>1722</v>
      </c>
      <c r="U48" s="7" t="str">
        <f t="shared" si="4"/>
        <v>29A5</v>
      </c>
      <c r="V48" s="3"/>
      <c r="X48" s="7">
        <f t="shared" si="15"/>
        <v>7</v>
      </c>
      <c r="Y48" s="7">
        <f>Y47</f>
        <v>22</v>
      </c>
      <c r="Z48" s="7">
        <f t="shared" si="28"/>
        <v>30</v>
      </c>
      <c r="AA48" s="7">
        <f t="shared" si="21"/>
        <v>45</v>
      </c>
      <c r="AB48" s="7" t="str">
        <f t="shared" si="5"/>
        <v>3E82</v>
      </c>
      <c r="AC48" s="7" t="str">
        <f t="shared" si="6"/>
        <v>5105</v>
      </c>
      <c r="AD48" s="3"/>
      <c r="AF48" s="7">
        <f t="shared" si="16"/>
        <v>21</v>
      </c>
      <c r="AG48" s="7">
        <f>AG47</f>
        <v>22</v>
      </c>
      <c r="AH48" s="7">
        <f t="shared" si="29"/>
        <v>30</v>
      </c>
      <c r="AI48" s="7">
        <f t="shared" si="22"/>
        <v>45</v>
      </c>
      <c r="AJ48" s="7" t="str">
        <f t="shared" si="7"/>
        <v>ACC2</v>
      </c>
      <c r="AK48" s="7" t="str">
        <f t="shared" si="8"/>
        <v>BF45</v>
      </c>
      <c r="AL48" s="3"/>
      <c r="AM48" s="3"/>
      <c r="AN48" s="7">
        <f t="shared" si="17"/>
        <v>34</v>
      </c>
      <c r="AO48" s="7">
        <f>AO47</f>
        <v>22</v>
      </c>
      <c r="AP48" s="7">
        <f t="shared" si="30"/>
        <v>30</v>
      </c>
      <c r="AQ48" s="7">
        <f t="shared" si="23"/>
        <v>45</v>
      </c>
      <c r="AR48" s="7" t="str">
        <f t="shared" si="9"/>
        <v>11322</v>
      </c>
      <c r="AS48" s="7" t="str">
        <f t="shared" si="10"/>
        <v>125A5</v>
      </c>
      <c r="AT48" s="3"/>
      <c r="AU48" s="3"/>
      <c r="AV48" s="7">
        <f t="shared" si="32"/>
        <v>60</v>
      </c>
      <c r="AW48" s="7">
        <f>AW47</f>
        <v>22</v>
      </c>
      <c r="AX48" s="7">
        <f t="shared" si="31"/>
        <v>30</v>
      </c>
      <c r="AY48" s="7">
        <f t="shared" si="24"/>
        <v>45</v>
      </c>
      <c r="AZ48" s="7" t="str">
        <f t="shared" si="11"/>
        <v>1DFE2</v>
      </c>
      <c r="BA48" s="7" t="str">
        <f t="shared" si="12"/>
        <v>1F265</v>
      </c>
      <c r="BB48" s="3"/>
    </row>
    <row r="49" spans="1:54" x14ac:dyDescent="0.25">
      <c r="B49" s="7">
        <v>0</v>
      </c>
      <c r="C49" s="7">
        <f>SUM(C47+1)</f>
        <v>23</v>
      </c>
      <c r="D49" s="7">
        <f t="shared" si="25"/>
        <v>0</v>
      </c>
      <c r="E49" s="7">
        <f t="shared" si="18"/>
        <v>46</v>
      </c>
      <c r="F49" s="7" t="str">
        <f t="shared" si="13"/>
        <v>78C</v>
      </c>
      <c r="G49" s="7" t="str">
        <f t="shared" si="0"/>
        <v>1A0F</v>
      </c>
      <c r="H49" s="3"/>
      <c r="I49" s="7">
        <v>1</v>
      </c>
      <c r="J49" s="7">
        <f>SUM(J47+1)</f>
        <v>23</v>
      </c>
      <c r="K49" s="7">
        <f t="shared" si="26"/>
        <v>0</v>
      </c>
      <c r="L49" s="7">
        <f t="shared" si="19"/>
        <v>46</v>
      </c>
      <c r="M49" s="7" t="str">
        <f t="shared" si="1"/>
        <v>F6C</v>
      </c>
      <c r="N49" s="7" t="str">
        <f t="shared" si="2"/>
        <v>21EF</v>
      </c>
      <c r="O49" s="3"/>
      <c r="P49" s="7">
        <f t="shared" si="14"/>
        <v>2</v>
      </c>
      <c r="Q49" s="7">
        <f>SUM(Q47+1)</f>
        <v>23</v>
      </c>
      <c r="R49" s="7">
        <f t="shared" si="27"/>
        <v>0</v>
      </c>
      <c r="S49" s="7">
        <f t="shared" si="20"/>
        <v>46</v>
      </c>
      <c r="T49" s="7" t="str">
        <f t="shared" si="3"/>
        <v>174C</v>
      </c>
      <c r="U49" s="7" t="str">
        <f t="shared" si="4"/>
        <v>29CF</v>
      </c>
      <c r="V49" s="3"/>
      <c r="X49" s="7">
        <f t="shared" si="15"/>
        <v>7</v>
      </c>
      <c r="Y49" s="7">
        <f>SUM(Y47+1)</f>
        <v>23</v>
      </c>
      <c r="Z49" s="7">
        <f t="shared" si="28"/>
        <v>0</v>
      </c>
      <c r="AA49" s="7">
        <f t="shared" si="21"/>
        <v>46</v>
      </c>
      <c r="AB49" s="7" t="str">
        <f t="shared" si="5"/>
        <v>3EAC</v>
      </c>
      <c r="AC49" s="7" t="str">
        <f t="shared" si="6"/>
        <v>512F</v>
      </c>
      <c r="AD49" s="3"/>
      <c r="AF49" s="7">
        <f t="shared" si="16"/>
        <v>21</v>
      </c>
      <c r="AG49" s="7">
        <f>SUM(AG47+1)</f>
        <v>23</v>
      </c>
      <c r="AH49" s="7">
        <f t="shared" si="29"/>
        <v>0</v>
      </c>
      <c r="AI49" s="7">
        <f t="shared" si="22"/>
        <v>46</v>
      </c>
      <c r="AJ49" s="7" t="str">
        <f t="shared" si="7"/>
        <v>ACEC</v>
      </c>
      <c r="AK49" s="7" t="str">
        <f t="shared" si="8"/>
        <v>BF6F</v>
      </c>
      <c r="AL49" s="3"/>
      <c r="AM49" s="3"/>
      <c r="AN49" s="7">
        <f t="shared" si="17"/>
        <v>34</v>
      </c>
      <c r="AO49" s="7">
        <f>SUM(AO47+1)</f>
        <v>23</v>
      </c>
      <c r="AP49" s="7">
        <f t="shared" si="30"/>
        <v>0</v>
      </c>
      <c r="AQ49" s="7">
        <f t="shared" si="23"/>
        <v>46</v>
      </c>
      <c r="AR49" s="7" t="str">
        <f t="shared" si="9"/>
        <v>1134C</v>
      </c>
      <c r="AS49" s="7" t="str">
        <f t="shared" si="10"/>
        <v>125CF</v>
      </c>
      <c r="AT49" s="3"/>
      <c r="AU49" s="3"/>
      <c r="AV49" s="7">
        <f t="shared" si="32"/>
        <v>60</v>
      </c>
      <c r="AW49" s="7">
        <f>SUM(AW47+1)</f>
        <v>23</v>
      </c>
      <c r="AX49" s="7">
        <f t="shared" si="31"/>
        <v>0</v>
      </c>
      <c r="AY49" s="7">
        <f t="shared" si="24"/>
        <v>46</v>
      </c>
      <c r="AZ49" s="7" t="str">
        <f t="shared" si="11"/>
        <v>1E00C</v>
      </c>
      <c r="BA49" s="7" t="str">
        <f t="shared" si="12"/>
        <v>1F28F</v>
      </c>
      <c r="BB49" s="3"/>
    </row>
    <row r="50" spans="1:54" x14ac:dyDescent="0.25">
      <c r="B50" s="7">
        <v>0</v>
      </c>
      <c r="C50" s="7">
        <f>C49</f>
        <v>23</v>
      </c>
      <c r="D50" s="7">
        <f t="shared" si="25"/>
        <v>30</v>
      </c>
      <c r="E50" s="7">
        <f t="shared" si="18"/>
        <v>47</v>
      </c>
      <c r="F50" s="7" t="str">
        <f t="shared" si="13"/>
        <v>7B6</v>
      </c>
      <c r="G50" s="7" t="str">
        <f t="shared" si="0"/>
        <v>1A39</v>
      </c>
      <c r="H50" s="3"/>
      <c r="I50" s="7">
        <v>1</v>
      </c>
      <c r="J50" s="7">
        <f>J49</f>
        <v>23</v>
      </c>
      <c r="K50" s="7">
        <f t="shared" si="26"/>
        <v>30</v>
      </c>
      <c r="L50" s="7">
        <f t="shared" si="19"/>
        <v>47</v>
      </c>
      <c r="M50" s="7" t="str">
        <f t="shared" si="1"/>
        <v>F96</v>
      </c>
      <c r="N50" s="7" t="str">
        <f t="shared" si="2"/>
        <v>2219</v>
      </c>
      <c r="O50" s="3"/>
      <c r="P50" s="7">
        <f t="shared" si="14"/>
        <v>2</v>
      </c>
      <c r="Q50" s="7">
        <f>Q49</f>
        <v>23</v>
      </c>
      <c r="R50" s="7">
        <f t="shared" si="27"/>
        <v>30</v>
      </c>
      <c r="S50" s="7">
        <f t="shared" si="20"/>
        <v>47</v>
      </c>
      <c r="T50" s="7" t="str">
        <f t="shared" si="3"/>
        <v>1776</v>
      </c>
      <c r="U50" s="7" t="str">
        <f t="shared" si="4"/>
        <v>29F9</v>
      </c>
      <c r="V50" s="3"/>
      <c r="X50" s="7">
        <f t="shared" si="15"/>
        <v>7</v>
      </c>
      <c r="Y50" s="7">
        <f>Y49</f>
        <v>23</v>
      </c>
      <c r="Z50" s="7">
        <f t="shared" si="28"/>
        <v>30</v>
      </c>
      <c r="AA50" s="7">
        <f t="shared" si="21"/>
        <v>47</v>
      </c>
      <c r="AB50" s="7" t="str">
        <f t="shared" si="5"/>
        <v>3ED6</v>
      </c>
      <c r="AC50" s="7" t="str">
        <f t="shared" si="6"/>
        <v>5159</v>
      </c>
      <c r="AD50" s="3"/>
      <c r="AF50" s="7">
        <f t="shared" si="16"/>
        <v>21</v>
      </c>
      <c r="AG50" s="7">
        <f>AG49</f>
        <v>23</v>
      </c>
      <c r="AH50" s="7">
        <f t="shared" si="29"/>
        <v>30</v>
      </c>
      <c r="AI50" s="7">
        <f t="shared" si="22"/>
        <v>47</v>
      </c>
      <c r="AJ50" s="7" t="str">
        <f t="shared" si="7"/>
        <v>AD16</v>
      </c>
      <c r="AK50" s="7" t="str">
        <f t="shared" si="8"/>
        <v>BF99</v>
      </c>
      <c r="AL50" s="3"/>
      <c r="AM50" s="3"/>
      <c r="AN50" s="7">
        <f t="shared" si="17"/>
        <v>34</v>
      </c>
      <c r="AO50" s="7">
        <f>AO49</f>
        <v>23</v>
      </c>
      <c r="AP50" s="7">
        <f t="shared" si="30"/>
        <v>30</v>
      </c>
      <c r="AQ50" s="7">
        <f t="shared" si="23"/>
        <v>47</v>
      </c>
      <c r="AR50" s="7" t="str">
        <f t="shared" si="9"/>
        <v>11376</v>
      </c>
      <c r="AS50" s="7" t="str">
        <f t="shared" si="10"/>
        <v>125F9</v>
      </c>
      <c r="AT50" s="3"/>
      <c r="AU50" s="3"/>
      <c r="AV50" s="7">
        <f t="shared" si="32"/>
        <v>60</v>
      </c>
      <c r="AW50" s="7">
        <f>AW49</f>
        <v>23</v>
      </c>
      <c r="AX50" s="7">
        <f t="shared" si="31"/>
        <v>30</v>
      </c>
      <c r="AY50" s="7">
        <f t="shared" si="24"/>
        <v>47</v>
      </c>
      <c r="AZ50" s="7" t="str">
        <f t="shared" si="11"/>
        <v>1E036</v>
      </c>
      <c r="BA50" s="7" t="str">
        <f t="shared" si="12"/>
        <v>1F2B9</v>
      </c>
      <c r="BB50" s="3"/>
    </row>
    <row r="51" spans="1:54" x14ac:dyDescent="0.25">
      <c r="X51" s="64" t="s">
        <v>256</v>
      </c>
      <c r="Y51" s="64"/>
      <c r="Z51" s="64"/>
      <c r="AA51" s="64"/>
      <c r="AB51" s="7" t="str">
        <f>DEC2HEX(HEX2DEC(AB50)+numberofbytes_tostore_1phase)</f>
        <v>3F00</v>
      </c>
      <c r="AC51" s="7" t="str">
        <f t="shared" si="6"/>
        <v>5183</v>
      </c>
      <c r="AN51" s="64" t="s">
        <v>255</v>
      </c>
      <c r="AO51" s="64"/>
      <c r="AP51" s="64"/>
      <c r="AQ51" s="64"/>
      <c r="AR51" s="7" t="str">
        <f>DEC2HEX(HEX2DEC(AR50)+numberofbytes_tostore_1phase)</f>
        <v>113A0</v>
      </c>
      <c r="AS51" s="7" t="str">
        <f t="shared" si="10"/>
        <v>12623</v>
      </c>
      <c r="AV51" s="64" t="s">
        <v>277</v>
      </c>
      <c r="AW51" s="64"/>
      <c r="AX51" s="64"/>
      <c r="AY51" s="64"/>
      <c r="AZ51" s="7" t="str">
        <f>DEC2HEX(HEX2DEC(AZ50)+numberofbytes_tostore_1phase)</f>
        <v>1E060</v>
      </c>
      <c r="BA51" s="7" t="str">
        <f t="shared" si="12"/>
        <v>1F2E3</v>
      </c>
    </row>
    <row r="52" spans="1:54" ht="15.75" x14ac:dyDescent="0.25">
      <c r="B52" s="65" t="s">
        <v>57</v>
      </c>
      <c r="C52" s="66"/>
      <c r="D52" s="66"/>
      <c r="E52" s="66"/>
      <c r="F52" s="66"/>
      <c r="G52" s="66"/>
      <c r="H52" s="66"/>
      <c r="I52" s="66"/>
    </row>
    <row r="53" spans="1:54" x14ac:dyDescent="0.25">
      <c r="B53" s="3"/>
      <c r="C53" s="3"/>
      <c r="D53" s="3"/>
      <c r="E53" s="3"/>
      <c r="F53" s="3"/>
      <c r="G53" s="3"/>
      <c r="H53" s="20"/>
      <c r="I53" s="21"/>
    </row>
    <row r="54" spans="1:54" x14ac:dyDescent="0.25">
      <c r="B54" s="2" t="s">
        <v>58</v>
      </c>
      <c r="C54" s="2"/>
      <c r="D54" s="2" t="s">
        <v>115</v>
      </c>
      <c r="E54" s="2"/>
      <c r="F54" s="2"/>
      <c r="G54" s="2" t="s">
        <v>2</v>
      </c>
      <c r="H54" s="22"/>
    </row>
    <row r="55" spans="1:54" x14ac:dyDescent="0.25">
      <c r="A55" s="32" t="s">
        <v>226</v>
      </c>
      <c r="B55" s="3" t="s">
        <v>70</v>
      </c>
      <c r="C55" s="3"/>
      <c r="D55" s="3">
        <v>2</v>
      </c>
      <c r="E55" s="3"/>
      <c r="F55" s="3"/>
      <c r="G55" s="3" t="str">
        <f>LOADSURVEY_REF_ADDRESS</f>
        <v>1255</v>
      </c>
      <c r="H55" s="22"/>
    </row>
    <row r="56" spans="1:54" x14ac:dyDescent="0.25">
      <c r="B56" s="3" t="s">
        <v>71</v>
      </c>
      <c r="C56" s="3"/>
      <c r="D56" s="3">
        <v>4</v>
      </c>
      <c r="E56" s="3"/>
      <c r="F56" s="3"/>
      <c r="G56" s="3" t="str">
        <f t="shared" ref="G56:G74" si="33">DEC2HEX(SUM(HEX2DEC(G55))+D55)</f>
        <v>1257</v>
      </c>
      <c r="H56" s="22"/>
      <c r="P56" s="67" t="s">
        <v>142</v>
      </c>
      <c r="Q56" s="67"/>
      <c r="R56" s="67"/>
      <c r="S56" s="67"/>
      <c r="T56" t="s">
        <v>341</v>
      </c>
    </row>
    <row r="57" spans="1:54" ht="60" x14ac:dyDescent="0.25">
      <c r="B57" s="3" t="s">
        <v>72</v>
      </c>
      <c r="C57" s="3"/>
      <c r="D57" s="3">
        <v>4</v>
      </c>
      <c r="E57" s="3"/>
      <c r="F57" s="3"/>
      <c r="G57" s="3" t="str">
        <f t="shared" si="33"/>
        <v>125B</v>
      </c>
      <c r="H57" s="22"/>
      <c r="P57" s="3" t="s">
        <v>141</v>
      </c>
      <c r="Q57" s="3" t="s">
        <v>115</v>
      </c>
      <c r="R57" s="4" t="s">
        <v>144</v>
      </c>
      <c r="S57" s="3"/>
    </row>
    <row r="58" spans="1:54" x14ac:dyDescent="0.25">
      <c r="B58" s="3" t="s">
        <v>59</v>
      </c>
      <c r="C58" s="3"/>
      <c r="D58" s="3">
        <v>1</v>
      </c>
      <c r="E58" s="3"/>
      <c r="F58" s="3"/>
      <c r="G58" s="3" t="str">
        <f t="shared" si="33"/>
        <v>125F</v>
      </c>
      <c r="H58" s="22"/>
      <c r="P58" s="3" t="s">
        <v>59</v>
      </c>
      <c r="Q58" s="3">
        <v>1</v>
      </c>
      <c r="R58" s="3" t="str">
        <f>LOAD_SURVEY_BASE_ADRESS</f>
        <v>1283</v>
      </c>
      <c r="S58" s="3"/>
      <c r="T58" s="63">
        <v>0</v>
      </c>
    </row>
    <row r="59" spans="1:54" x14ac:dyDescent="0.25">
      <c r="B59" s="3" t="s">
        <v>60</v>
      </c>
      <c r="C59" s="3"/>
      <c r="D59" s="3">
        <v>1</v>
      </c>
      <c r="E59" s="3"/>
      <c r="F59" s="3"/>
      <c r="G59" s="3" t="str">
        <f t="shared" si="33"/>
        <v>1260</v>
      </c>
      <c r="H59" s="22"/>
      <c r="P59" s="3" t="s">
        <v>60</v>
      </c>
      <c r="Q59" s="3">
        <v>1</v>
      </c>
      <c r="R59" s="3" t="str">
        <f>DEC2HEX(SUM(Q58,HEX2DEC(R58)))</f>
        <v>1284</v>
      </c>
      <c r="S59" s="3"/>
      <c r="T59" s="63"/>
    </row>
    <row r="60" spans="1:54" x14ac:dyDescent="0.25">
      <c r="B60" s="3" t="s">
        <v>61</v>
      </c>
      <c r="C60" s="3"/>
      <c r="D60" s="3">
        <v>1</v>
      </c>
      <c r="E60" s="3"/>
      <c r="F60" s="3"/>
      <c r="G60" s="3" t="str">
        <f t="shared" si="33"/>
        <v>1261</v>
      </c>
      <c r="H60" s="22"/>
      <c r="P60" s="3" t="s">
        <v>61</v>
      </c>
      <c r="Q60" s="3">
        <v>1</v>
      </c>
      <c r="R60" s="3" t="str">
        <f t="shared" ref="R60:R75" si="34">DEC2HEX(SUM(Q59,HEX2DEC(R59)))</f>
        <v>1285</v>
      </c>
      <c r="S60" s="3"/>
      <c r="T60" s="63"/>
    </row>
    <row r="61" spans="1:54" x14ac:dyDescent="0.25">
      <c r="B61" s="3" t="s">
        <v>62</v>
      </c>
      <c r="C61" s="3"/>
      <c r="D61" s="3">
        <v>1</v>
      </c>
      <c r="E61" s="3"/>
      <c r="F61" s="3"/>
      <c r="G61" s="3" t="str">
        <f t="shared" si="33"/>
        <v>1262</v>
      </c>
      <c r="H61" s="22"/>
      <c r="P61" s="3" t="s">
        <v>62</v>
      </c>
      <c r="Q61" s="3">
        <v>1</v>
      </c>
      <c r="R61" s="3" t="str">
        <f t="shared" si="34"/>
        <v>1286</v>
      </c>
      <c r="S61" s="3"/>
      <c r="T61" s="63"/>
    </row>
    <row r="62" spans="1:54" x14ac:dyDescent="0.25">
      <c r="B62" s="3" t="s">
        <v>51</v>
      </c>
      <c r="C62" s="3"/>
      <c r="D62" s="3">
        <v>1</v>
      </c>
      <c r="E62" s="3"/>
      <c r="F62" s="3"/>
      <c r="G62" s="3" t="str">
        <f t="shared" si="33"/>
        <v>1263</v>
      </c>
      <c r="H62" s="22"/>
      <c r="P62" s="3" t="s">
        <v>51</v>
      </c>
      <c r="Q62" s="3">
        <v>1</v>
      </c>
      <c r="R62" s="3" t="str">
        <f t="shared" si="34"/>
        <v>1287</v>
      </c>
      <c r="S62" s="3"/>
      <c r="T62" s="63"/>
    </row>
    <row r="63" spans="1:54" x14ac:dyDescent="0.25">
      <c r="B63" s="3" t="s">
        <v>52</v>
      </c>
      <c r="C63" s="3"/>
      <c r="D63" s="3">
        <v>1</v>
      </c>
      <c r="E63" s="3"/>
      <c r="F63" s="3"/>
      <c r="G63" s="3" t="str">
        <f t="shared" si="33"/>
        <v>1264</v>
      </c>
      <c r="H63" s="22"/>
      <c r="P63" s="3" t="s">
        <v>52</v>
      </c>
      <c r="Q63" s="3">
        <v>1</v>
      </c>
      <c r="R63" s="3" t="str">
        <f t="shared" si="34"/>
        <v>1288</v>
      </c>
      <c r="S63" s="3"/>
      <c r="T63" s="63"/>
    </row>
    <row r="64" spans="1:54" x14ac:dyDescent="0.25">
      <c r="B64" s="3" t="s">
        <v>63</v>
      </c>
      <c r="C64" s="3"/>
      <c r="D64" s="3">
        <v>1</v>
      </c>
      <c r="E64" s="3"/>
      <c r="F64" s="3"/>
      <c r="G64" s="3" t="str">
        <f t="shared" si="33"/>
        <v>1265</v>
      </c>
      <c r="H64" s="22"/>
      <c r="P64" s="3" t="s">
        <v>63</v>
      </c>
      <c r="Q64" s="3">
        <v>1</v>
      </c>
      <c r="R64" s="3" t="str">
        <f t="shared" si="34"/>
        <v>1289</v>
      </c>
      <c r="S64" s="3"/>
      <c r="T64" s="63"/>
    </row>
    <row r="65" spans="2:22" x14ac:dyDescent="0.25">
      <c r="B65" s="3" t="s">
        <v>64</v>
      </c>
      <c r="C65" s="3"/>
      <c r="D65" s="3">
        <v>1</v>
      </c>
      <c r="E65" s="3"/>
      <c r="F65" s="3"/>
      <c r="G65" s="3" t="str">
        <f t="shared" si="33"/>
        <v>1266</v>
      </c>
      <c r="H65" s="22"/>
      <c r="P65" s="3" t="s">
        <v>64</v>
      </c>
      <c r="Q65" s="3">
        <v>1</v>
      </c>
      <c r="R65" s="3" t="str">
        <f t="shared" si="34"/>
        <v>128A</v>
      </c>
      <c r="S65" s="3"/>
      <c r="T65" s="63"/>
    </row>
    <row r="66" spans="2:22" x14ac:dyDescent="0.25">
      <c r="B66" s="3" t="s">
        <v>150</v>
      </c>
      <c r="C66" s="3"/>
      <c r="D66" s="3">
        <v>1</v>
      </c>
      <c r="E66" s="3"/>
      <c r="F66" s="3"/>
      <c r="G66" s="3" t="str">
        <f t="shared" si="33"/>
        <v>1267</v>
      </c>
      <c r="H66" s="22"/>
      <c r="P66" s="3" t="s">
        <v>147</v>
      </c>
      <c r="Q66" s="3">
        <v>1</v>
      </c>
      <c r="R66" s="3" t="str">
        <f t="shared" si="34"/>
        <v>128B</v>
      </c>
      <c r="S66" s="3"/>
      <c r="T66" s="63"/>
      <c r="U66">
        <f>SUM(HEX2DEC(R75)-HEX2DEC(R58))</f>
        <v>42</v>
      </c>
      <c r="V66" t="s">
        <v>210</v>
      </c>
    </row>
    <row r="67" spans="2:22" x14ac:dyDescent="0.25">
      <c r="B67" s="3" t="s">
        <v>148</v>
      </c>
      <c r="C67" s="3"/>
      <c r="D67" s="3">
        <v>2</v>
      </c>
      <c r="E67" s="3"/>
      <c r="F67" s="3"/>
      <c r="G67" s="3" t="str">
        <f t="shared" si="33"/>
        <v>1268</v>
      </c>
      <c r="H67" s="22"/>
      <c r="P67" s="3" t="s">
        <v>148</v>
      </c>
      <c r="Q67" s="3">
        <v>2</v>
      </c>
      <c r="R67" s="3" t="str">
        <f t="shared" si="34"/>
        <v>128C</v>
      </c>
      <c r="S67" s="3"/>
      <c r="T67" s="63"/>
    </row>
    <row r="68" spans="2:22" x14ac:dyDescent="0.25">
      <c r="B68" s="3" t="s">
        <v>149</v>
      </c>
      <c r="C68" s="3"/>
      <c r="D68" s="3">
        <v>1</v>
      </c>
      <c r="E68" s="3"/>
      <c r="F68" s="3"/>
      <c r="G68" s="3" t="str">
        <f t="shared" si="33"/>
        <v>126A</v>
      </c>
      <c r="H68" s="22"/>
      <c r="I68">
        <f>SUM(HEX2DEC(G75)-HEX2DEC(G58))</f>
        <v>36</v>
      </c>
      <c r="J68" t="s">
        <v>212</v>
      </c>
      <c r="P68" s="3" t="s">
        <v>149</v>
      </c>
      <c r="Q68" s="3">
        <v>1</v>
      </c>
      <c r="R68" s="3" t="str">
        <f t="shared" si="34"/>
        <v>128E</v>
      </c>
      <c r="S68" s="3"/>
      <c r="T68" s="63"/>
    </row>
    <row r="69" spans="2:22" x14ac:dyDescent="0.25">
      <c r="B69" s="3" t="s">
        <v>65</v>
      </c>
      <c r="C69" s="3"/>
      <c r="D69" s="3">
        <v>4</v>
      </c>
      <c r="E69" s="3"/>
      <c r="F69" s="3"/>
      <c r="G69" s="3" t="str">
        <f t="shared" si="33"/>
        <v>126B</v>
      </c>
      <c r="H69" s="22"/>
      <c r="P69" s="3" t="s">
        <v>168</v>
      </c>
      <c r="Q69" s="3">
        <v>4</v>
      </c>
      <c r="R69" s="3" t="str">
        <f t="shared" si="34"/>
        <v>128F</v>
      </c>
      <c r="S69" s="3"/>
      <c r="T69">
        <v>1</v>
      </c>
    </row>
    <row r="70" spans="2:22" x14ac:dyDescent="0.25">
      <c r="B70" s="3" t="s">
        <v>66</v>
      </c>
      <c r="C70" s="3"/>
      <c r="D70" s="3">
        <v>4</v>
      </c>
      <c r="E70" s="3"/>
      <c r="F70" s="3"/>
      <c r="G70" s="3" t="str">
        <f t="shared" si="33"/>
        <v>126F</v>
      </c>
      <c r="H70" s="22"/>
      <c r="P70" s="3" t="s">
        <v>66</v>
      </c>
      <c r="Q70" s="3">
        <v>4</v>
      </c>
      <c r="R70" s="3" t="str">
        <f t="shared" si="34"/>
        <v>1293</v>
      </c>
      <c r="S70" s="3"/>
      <c r="T70">
        <v>2</v>
      </c>
    </row>
    <row r="71" spans="2:22" x14ac:dyDescent="0.25">
      <c r="B71" s="3" t="s">
        <v>67</v>
      </c>
      <c r="C71" s="3"/>
      <c r="D71" s="3">
        <v>4</v>
      </c>
      <c r="E71" s="3"/>
      <c r="F71" s="3"/>
      <c r="G71" s="3" t="str">
        <f t="shared" si="33"/>
        <v>1273</v>
      </c>
      <c r="H71" s="22"/>
      <c r="P71" s="3" t="s">
        <v>69</v>
      </c>
      <c r="Q71" s="3">
        <v>4</v>
      </c>
      <c r="R71" s="3" t="str">
        <f t="shared" si="34"/>
        <v>1297</v>
      </c>
      <c r="S71" s="3"/>
      <c r="T71">
        <v>3</v>
      </c>
    </row>
    <row r="72" spans="2:22" x14ac:dyDescent="0.25">
      <c r="B72" s="3" t="s">
        <v>68</v>
      </c>
      <c r="C72" s="3"/>
      <c r="D72" s="3">
        <v>4</v>
      </c>
      <c r="E72" s="3"/>
      <c r="F72" s="3"/>
      <c r="G72" s="3" t="str">
        <f t="shared" si="33"/>
        <v>1277</v>
      </c>
      <c r="H72" s="22"/>
      <c r="P72" s="3" t="s">
        <v>340</v>
      </c>
      <c r="Q72" s="3">
        <v>4</v>
      </c>
      <c r="R72" s="3" t="str">
        <f t="shared" si="34"/>
        <v>129B</v>
      </c>
      <c r="S72" s="3"/>
      <c r="T72">
        <v>4</v>
      </c>
    </row>
    <row r="73" spans="2:22" x14ac:dyDescent="0.25">
      <c r="B73" s="3" t="s">
        <v>69</v>
      </c>
      <c r="C73" s="3"/>
      <c r="D73" s="3">
        <v>4</v>
      </c>
      <c r="E73" s="3"/>
      <c r="F73" s="3"/>
      <c r="G73" s="3" t="str">
        <f t="shared" si="33"/>
        <v>127B</v>
      </c>
      <c r="H73" s="22"/>
      <c r="P73" s="3" t="s">
        <v>93</v>
      </c>
      <c r="Q73" s="3">
        <v>2</v>
      </c>
      <c r="R73" s="3" t="str">
        <f t="shared" si="34"/>
        <v>129F</v>
      </c>
      <c r="S73" s="3"/>
      <c r="T73">
        <v>5</v>
      </c>
    </row>
    <row r="74" spans="2:22" x14ac:dyDescent="0.25">
      <c r="B74" s="3" t="s">
        <v>340</v>
      </c>
      <c r="C74" s="3"/>
      <c r="D74" s="3">
        <v>4</v>
      </c>
      <c r="E74" s="3"/>
      <c r="F74" s="3"/>
      <c r="G74" s="3" t="str">
        <f t="shared" si="33"/>
        <v>127F</v>
      </c>
      <c r="H74" s="22"/>
      <c r="P74" s="3" t="s">
        <v>125</v>
      </c>
      <c r="Q74" s="3">
        <v>12</v>
      </c>
      <c r="R74" s="3" t="str">
        <f t="shared" si="34"/>
        <v>12A1</v>
      </c>
      <c r="S74" s="3"/>
      <c r="T74">
        <v>6</v>
      </c>
    </row>
    <row r="75" spans="2:22" ht="60" x14ac:dyDescent="0.25">
      <c r="B75" s="3" t="s">
        <v>223</v>
      </c>
      <c r="C75" s="3"/>
      <c r="D75" s="3"/>
      <c r="E75" s="3"/>
      <c r="F75" s="3"/>
      <c r="G75" s="3" t="str">
        <f>DEC2HEX(SUM(HEX2DEC(G74))+D73)</f>
        <v>1283</v>
      </c>
      <c r="P75" s="3"/>
      <c r="Q75" s="3">
        <f>SUM(Q58:Q74)</f>
        <v>42</v>
      </c>
      <c r="R75" s="3" t="str">
        <f t="shared" si="34"/>
        <v>12AD</v>
      </c>
      <c r="S75" s="4" t="s">
        <v>143</v>
      </c>
    </row>
    <row r="76" spans="2:22" x14ac:dyDescent="0.25">
      <c r="G76" s="21"/>
    </row>
  </sheetData>
  <mergeCells count="7">
    <mergeCell ref="T58:T68"/>
    <mergeCell ref="AV51:AY51"/>
    <mergeCell ref="B52:I52"/>
    <mergeCell ref="P56:S56"/>
    <mergeCell ref="A1:G1"/>
    <mergeCell ref="AN51:AQ51"/>
    <mergeCell ref="X51:AA5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52"/>
  <sheetViews>
    <sheetView zoomScaleNormal="100" workbookViewId="0">
      <pane ySplit="5" topLeftCell="A36" activePane="bottomLeft" state="frozen"/>
      <selection pane="bottomLeft" activeCell="P3" sqref="P3"/>
    </sheetView>
  </sheetViews>
  <sheetFormatPr defaultRowHeight="15" x14ac:dyDescent="0.25"/>
  <cols>
    <col min="2" max="2" width="34.85546875" customWidth="1"/>
    <col min="3" max="4" width="21.7109375" customWidth="1"/>
    <col min="5" max="5" width="22.140625" customWidth="1"/>
    <col min="8" max="8" width="20" customWidth="1"/>
    <col min="13" max="13" width="20.85546875" customWidth="1"/>
    <col min="14" max="14" width="9.85546875" customWidth="1"/>
    <col min="18" max="18" width="10.7109375" customWidth="1"/>
    <col min="19" max="19" width="20.28515625" customWidth="1"/>
  </cols>
  <sheetData>
    <row r="1" spans="2:17" x14ac:dyDescent="0.25">
      <c r="B1" s="33" t="s">
        <v>87</v>
      </c>
      <c r="C1" s="69" t="s">
        <v>294</v>
      </c>
      <c r="D1" s="69"/>
      <c r="E1" s="69"/>
      <c r="F1" s="69"/>
    </row>
    <row r="2" spans="2:17" ht="45" x14ac:dyDescent="0.25">
      <c r="B2" s="33"/>
      <c r="C2" s="64" t="s">
        <v>257</v>
      </c>
      <c r="D2" s="64"/>
      <c r="E2" s="64"/>
      <c r="F2" s="64"/>
      <c r="G2" t="str">
        <f>'block load survey'!AC51</f>
        <v>5183</v>
      </c>
      <c r="H2" s="64" t="s">
        <v>258</v>
      </c>
      <c r="I2" s="64"/>
      <c r="J2" s="64"/>
      <c r="K2" s="64"/>
      <c r="L2" t="str">
        <f>'block load survey'!AS51</f>
        <v>12623</v>
      </c>
      <c r="M2" s="19" t="s">
        <v>278</v>
      </c>
      <c r="N2" t="str">
        <f>'block load survey'!BA51</f>
        <v>1F2E3</v>
      </c>
      <c r="O2" s="1" t="s">
        <v>194</v>
      </c>
      <c r="P2" t="str">
        <f>N2</f>
        <v>1F2E3</v>
      </c>
    </row>
    <row r="3" spans="2:17" ht="21" x14ac:dyDescent="0.35">
      <c r="B3" s="71" t="s">
        <v>170</v>
      </c>
      <c r="C3" s="71"/>
      <c r="D3" s="71"/>
      <c r="E3" s="71"/>
      <c r="F3" s="71"/>
      <c r="H3" t="s">
        <v>171</v>
      </c>
      <c r="I3" s="11"/>
    </row>
    <row r="4" spans="2:17" ht="21" x14ac:dyDescent="0.35">
      <c r="B4" s="49"/>
      <c r="C4" s="70" t="s">
        <v>281</v>
      </c>
      <c r="D4" s="70"/>
      <c r="E4" s="70"/>
      <c r="F4" s="70"/>
      <c r="H4" s="70" t="s">
        <v>282</v>
      </c>
      <c r="I4" s="70"/>
      <c r="J4" s="70"/>
      <c r="K4" s="70"/>
      <c r="L4" s="33"/>
      <c r="M4" s="70" t="s">
        <v>283</v>
      </c>
      <c r="N4" s="70"/>
      <c r="O4" s="70"/>
      <c r="P4" s="70"/>
    </row>
    <row r="5" spans="2:17" ht="60" x14ac:dyDescent="0.25">
      <c r="B5" s="34" t="s">
        <v>215</v>
      </c>
      <c r="C5" s="34" t="s">
        <v>58</v>
      </c>
      <c r="D5" s="34" t="s">
        <v>77</v>
      </c>
      <c r="E5" s="35" t="s">
        <v>74</v>
      </c>
      <c r="F5" s="35" t="s">
        <v>88</v>
      </c>
      <c r="G5" s="28"/>
      <c r="H5" s="34" t="s">
        <v>58</v>
      </c>
      <c r="I5" s="34" t="s">
        <v>77</v>
      </c>
      <c r="J5" s="35" t="s">
        <v>74</v>
      </c>
      <c r="K5" s="35" t="s">
        <v>88</v>
      </c>
      <c r="L5" s="28"/>
      <c r="M5" s="52" t="s">
        <v>58</v>
      </c>
      <c r="N5" s="52" t="s">
        <v>77</v>
      </c>
      <c r="O5" s="53" t="s">
        <v>74</v>
      </c>
      <c r="P5" s="53" t="s">
        <v>88</v>
      </c>
      <c r="Q5" s="28"/>
    </row>
    <row r="6" spans="2:17" x14ac:dyDescent="0.25">
      <c r="B6" s="41" t="s">
        <v>218</v>
      </c>
      <c r="C6" s="3"/>
      <c r="D6" s="3"/>
      <c r="E6" s="3"/>
      <c r="F6" s="3"/>
      <c r="M6" s="51"/>
      <c r="N6" s="51"/>
      <c r="O6" s="51"/>
      <c r="P6" s="51"/>
    </row>
    <row r="7" spans="2:17" x14ac:dyDescent="0.25">
      <c r="B7" s="3" t="s">
        <v>131</v>
      </c>
      <c r="C7" s="3" t="s">
        <v>73</v>
      </c>
      <c r="D7" s="3">
        <v>4</v>
      </c>
      <c r="E7" s="38" t="str">
        <f>act_cal_base_address</f>
        <v>1F2E3</v>
      </c>
      <c r="F7" s="3">
        <f>HEX2DEC(E7)</f>
        <v>127715</v>
      </c>
      <c r="M7" s="51"/>
      <c r="N7" s="51"/>
      <c r="O7" s="51"/>
      <c r="P7" s="51"/>
    </row>
    <row r="8" spans="2:17" x14ac:dyDescent="0.25">
      <c r="B8" s="3" t="s">
        <v>130</v>
      </c>
      <c r="C8" s="3" t="s">
        <v>75</v>
      </c>
      <c r="D8" s="3">
        <v>4</v>
      </c>
      <c r="E8" s="38" t="str">
        <f t="shared" ref="E8:E25" si="0">DEC2HEX(SUM(HEX2DEC(E7),D7))</f>
        <v>1F2E7</v>
      </c>
      <c r="F8" s="3">
        <f t="shared" ref="F8:F52" si="1">HEX2DEC(E8)</f>
        <v>127719</v>
      </c>
      <c r="H8" s="3" t="s">
        <v>75</v>
      </c>
      <c r="I8" s="3">
        <v>4</v>
      </c>
      <c r="J8" s="38" t="str">
        <f>DEC2HEX(SUM(HEX2DEC(E10),D10))</f>
        <v>1F2FB</v>
      </c>
      <c r="K8" s="3">
        <f t="shared" ref="K8:K9" si="2">HEX2DEC(J8)</f>
        <v>127739</v>
      </c>
      <c r="M8" s="2" t="s">
        <v>75</v>
      </c>
      <c r="N8" s="2">
        <v>4</v>
      </c>
      <c r="O8" s="16" t="str">
        <f>DEC2HEX(SUM(HEX2DEC(J10),I10))</f>
        <v>1F30F</v>
      </c>
      <c r="P8" s="2">
        <f t="shared" ref="P8:P9" si="3">HEX2DEC(O8)</f>
        <v>127759</v>
      </c>
    </row>
    <row r="9" spans="2:17" x14ac:dyDescent="0.25">
      <c r="B9" s="3"/>
      <c r="C9" s="3" t="s">
        <v>76</v>
      </c>
      <c r="D9" s="3">
        <v>12</v>
      </c>
      <c r="E9" s="38" t="str">
        <f t="shared" si="0"/>
        <v>1F2EB</v>
      </c>
      <c r="F9" s="3">
        <f t="shared" si="1"/>
        <v>127723</v>
      </c>
      <c r="H9" s="3" t="s">
        <v>76</v>
      </c>
      <c r="I9" s="3">
        <v>12</v>
      </c>
      <c r="J9" s="38" t="str">
        <f t="shared" ref="J9" si="4">DEC2HEX(SUM(HEX2DEC(J8),I8))</f>
        <v>1F2FF</v>
      </c>
      <c r="K9" s="3">
        <f t="shared" si="2"/>
        <v>127743</v>
      </c>
      <c r="M9" s="2" t="s">
        <v>76</v>
      </c>
      <c r="N9" s="2">
        <v>12</v>
      </c>
      <c r="O9" s="16" t="str">
        <f t="shared" ref="O9" si="5">DEC2HEX(SUM(HEX2DEC(O8),N8))</f>
        <v>1F313</v>
      </c>
      <c r="P9" s="2">
        <f t="shared" si="3"/>
        <v>127763</v>
      </c>
    </row>
    <row r="10" spans="2:17" x14ac:dyDescent="0.25">
      <c r="B10" s="3"/>
      <c r="C10" s="3" t="s">
        <v>78</v>
      </c>
      <c r="D10" s="3">
        <v>4</v>
      </c>
      <c r="E10" s="38" t="str">
        <f t="shared" si="0"/>
        <v>1F2F7</v>
      </c>
      <c r="F10" s="3">
        <f t="shared" ref="F10" si="6">HEX2DEC(E10)</f>
        <v>127735</v>
      </c>
      <c r="H10" s="3" t="s">
        <v>78</v>
      </c>
      <c r="I10" s="3">
        <v>4</v>
      </c>
      <c r="J10" s="38" t="str">
        <f>DEC2HEX(SUM(HEX2DEC(J9),I9))</f>
        <v>1F30B</v>
      </c>
      <c r="K10" s="3">
        <f>HEX2DEC(J10)</f>
        <v>127755</v>
      </c>
      <c r="M10" s="2" t="s">
        <v>78</v>
      </c>
      <c r="N10" s="2">
        <v>4</v>
      </c>
      <c r="O10" s="16" t="str">
        <f>DEC2HEX(SUM(HEX2DEC(O9),N9))</f>
        <v>1F31F</v>
      </c>
      <c r="P10" s="2">
        <f>HEX2DEC(O10)</f>
        <v>127775</v>
      </c>
    </row>
    <row r="11" spans="2:17" x14ac:dyDescent="0.25">
      <c r="B11" s="32" t="s">
        <v>253</v>
      </c>
      <c r="C11" s="46" t="s">
        <v>252</v>
      </c>
      <c r="D11" s="3">
        <v>4</v>
      </c>
      <c r="E11" s="38" t="str">
        <f>DEC2HEX(SUM(HEX2DEC(J10),I10))</f>
        <v>1F30F</v>
      </c>
      <c r="F11" s="3">
        <f>HEX2DEC(E11)</f>
        <v>127759</v>
      </c>
      <c r="H11" s="46" t="s">
        <v>252</v>
      </c>
      <c r="I11" s="3">
        <v>4</v>
      </c>
      <c r="J11" s="38" t="str">
        <f>DEC2HEX(SUM(HEX2DEC(E11),D11))</f>
        <v>1F313</v>
      </c>
      <c r="K11" s="3">
        <f>HEX2DEC(J11)</f>
        <v>127763</v>
      </c>
      <c r="M11" s="36" t="s">
        <v>252</v>
      </c>
      <c r="N11" s="2">
        <v>4</v>
      </c>
      <c r="O11" s="16" t="str">
        <f>DEC2HEX(SUM(HEX2DEC(J11),I11))</f>
        <v>1F317</v>
      </c>
      <c r="P11" s="2">
        <f>HEX2DEC(O11)</f>
        <v>127767</v>
      </c>
    </row>
    <row r="12" spans="2:17" x14ac:dyDescent="0.25">
      <c r="B12" s="32" t="s">
        <v>220</v>
      </c>
      <c r="C12" s="36" t="s">
        <v>79</v>
      </c>
      <c r="D12" s="36">
        <v>1</v>
      </c>
      <c r="E12" s="37" t="str">
        <f>DEC2HEX(SUM(HEX2DEC(J11),I11))</f>
        <v>1F317</v>
      </c>
      <c r="F12" s="36">
        <f t="shared" si="1"/>
        <v>127767</v>
      </c>
      <c r="H12" s="2" t="s">
        <v>79</v>
      </c>
      <c r="I12" s="2">
        <v>1</v>
      </c>
      <c r="J12" s="16" t="str">
        <f>DEC2HEX(SUM(HEX2DEC(E28),D28))</f>
        <v>1F355</v>
      </c>
      <c r="K12" s="2">
        <f t="shared" ref="K12:K25" si="7">HEX2DEC(J12)</f>
        <v>127829</v>
      </c>
      <c r="M12" s="2" t="s">
        <v>79</v>
      </c>
      <c r="N12" s="2">
        <v>1</v>
      </c>
      <c r="O12" s="16" t="str">
        <f>DEC2HEX(SUM(HEX2DEC(J28),I28))</f>
        <v>1F393</v>
      </c>
      <c r="P12" s="2">
        <f t="shared" ref="P12:P25" si="8">HEX2DEC(O12)</f>
        <v>127891</v>
      </c>
    </row>
    <row r="13" spans="2:17" x14ac:dyDescent="0.25">
      <c r="C13" s="2" t="s">
        <v>86</v>
      </c>
      <c r="D13" s="2">
        <v>1</v>
      </c>
      <c r="E13" s="16" t="str">
        <f t="shared" si="0"/>
        <v>1F318</v>
      </c>
      <c r="F13" s="2">
        <f t="shared" si="1"/>
        <v>127768</v>
      </c>
      <c r="H13" s="2" t="s">
        <v>86</v>
      </c>
      <c r="I13" s="2">
        <v>1</v>
      </c>
      <c r="J13" s="16" t="str">
        <f t="shared" ref="J13:J25" si="9">DEC2HEX(SUM(HEX2DEC(J12),I12))</f>
        <v>1F356</v>
      </c>
      <c r="K13" s="2">
        <f t="shared" si="7"/>
        <v>127830</v>
      </c>
      <c r="M13" s="2" t="s">
        <v>86</v>
      </c>
      <c r="N13" s="2">
        <v>1</v>
      </c>
      <c r="O13" s="16" t="str">
        <f t="shared" ref="O13:O25" si="10">DEC2HEX(SUM(HEX2DEC(O12),N12))</f>
        <v>1F394</v>
      </c>
      <c r="P13" s="2">
        <f t="shared" si="8"/>
        <v>127892</v>
      </c>
    </row>
    <row r="14" spans="2:17" x14ac:dyDescent="0.25">
      <c r="B14" s="32" t="s">
        <v>216</v>
      </c>
      <c r="C14" s="2" t="s">
        <v>80</v>
      </c>
      <c r="D14" s="2">
        <v>4</v>
      </c>
      <c r="E14" s="16" t="str">
        <f t="shared" si="0"/>
        <v>1F319</v>
      </c>
      <c r="F14" s="2">
        <f t="shared" si="1"/>
        <v>127769</v>
      </c>
      <c r="H14" s="2" t="s">
        <v>80</v>
      </c>
      <c r="I14" s="2">
        <v>4</v>
      </c>
      <c r="J14" s="16" t="str">
        <f t="shared" si="9"/>
        <v>1F357</v>
      </c>
      <c r="K14" s="2">
        <f t="shared" si="7"/>
        <v>127831</v>
      </c>
      <c r="M14" s="2" t="s">
        <v>80</v>
      </c>
      <c r="N14" s="2">
        <v>4</v>
      </c>
      <c r="O14" s="16" t="str">
        <f t="shared" si="10"/>
        <v>1F395</v>
      </c>
      <c r="P14" s="2">
        <f t="shared" si="8"/>
        <v>127893</v>
      </c>
    </row>
    <row r="15" spans="2:17" x14ac:dyDescent="0.25">
      <c r="C15" s="2" t="s">
        <v>81</v>
      </c>
      <c r="D15" s="2">
        <v>6</v>
      </c>
      <c r="E15" s="16" t="str">
        <f t="shared" si="0"/>
        <v>1F31D</v>
      </c>
      <c r="F15" s="2">
        <f t="shared" si="1"/>
        <v>127773</v>
      </c>
      <c r="H15" s="2" t="s">
        <v>81</v>
      </c>
      <c r="I15" s="2">
        <v>6</v>
      </c>
      <c r="J15" s="16" t="str">
        <f t="shared" si="9"/>
        <v>1F35B</v>
      </c>
      <c r="K15" s="2">
        <f t="shared" si="7"/>
        <v>127835</v>
      </c>
      <c r="M15" s="2" t="s">
        <v>81</v>
      </c>
      <c r="N15" s="2">
        <v>6</v>
      </c>
      <c r="O15" s="16" t="str">
        <f t="shared" si="10"/>
        <v>1F399</v>
      </c>
      <c r="P15" s="2">
        <f t="shared" si="8"/>
        <v>127897</v>
      </c>
    </row>
    <row r="16" spans="2:17" x14ac:dyDescent="0.25">
      <c r="C16" s="2" t="s">
        <v>82</v>
      </c>
      <c r="D16" s="2">
        <v>2</v>
      </c>
      <c r="E16" s="16" t="str">
        <f t="shared" si="0"/>
        <v>1F323</v>
      </c>
      <c r="F16" s="2">
        <f t="shared" si="1"/>
        <v>127779</v>
      </c>
      <c r="H16" s="2" t="s">
        <v>82</v>
      </c>
      <c r="I16" s="2">
        <v>2</v>
      </c>
      <c r="J16" s="16" t="str">
        <f t="shared" si="9"/>
        <v>1F361</v>
      </c>
      <c r="K16" s="2">
        <f t="shared" si="7"/>
        <v>127841</v>
      </c>
      <c r="M16" s="2" t="s">
        <v>82</v>
      </c>
      <c r="N16" s="2">
        <v>2</v>
      </c>
      <c r="O16" s="16" t="str">
        <f t="shared" si="10"/>
        <v>1F39F</v>
      </c>
      <c r="P16" s="2">
        <f t="shared" si="8"/>
        <v>127903</v>
      </c>
    </row>
    <row r="17" spans="2:19" x14ac:dyDescent="0.25">
      <c r="C17" s="2" t="s">
        <v>80</v>
      </c>
      <c r="D17" s="2">
        <v>4</v>
      </c>
      <c r="E17" s="16" t="str">
        <f t="shared" si="0"/>
        <v>1F325</v>
      </c>
      <c r="F17" s="2">
        <f t="shared" si="1"/>
        <v>127781</v>
      </c>
      <c r="H17" s="2" t="s">
        <v>80</v>
      </c>
      <c r="I17" s="2">
        <v>4</v>
      </c>
      <c r="J17" s="16" t="str">
        <f t="shared" si="9"/>
        <v>1F363</v>
      </c>
      <c r="K17" s="2">
        <f t="shared" si="7"/>
        <v>127843</v>
      </c>
      <c r="M17" s="2" t="s">
        <v>80</v>
      </c>
      <c r="N17" s="2">
        <v>4</v>
      </c>
      <c r="O17" s="16" t="str">
        <f t="shared" si="10"/>
        <v>1F3A1</v>
      </c>
      <c r="P17" s="2">
        <f t="shared" si="8"/>
        <v>127905</v>
      </c>
    </row>
    <row r="18" spans="2:19" x14ac:dyDescent="0.25">
      <c r="C18" s="2" t="s">
        <v>81</v>
      </c>
      <c r="D18" s="2">
        <v>6</v>
      </c>
      <c r="E18" s="16" t="str">
        <f t="shared" si="0"/>
        <v>1F329</v>
      </c>
      <c r="F18" s="2">
        <f t="shared" si="1"/>
        <v>127785</v>
      </c>
      <c r="H18" s="2" t="s">
        <v>81</v>
      </c>
      <c r="I18" s="2">
        <v>6</v>
      </c>
      <c r="J18" s="16" t="str">
        <f t="shared" si="9"/>
        <v>1F367</v>
      </c>
      <c r="K18" s="2">
        <f t="shared" si="7"/>
        <v>127847</v>
      </c>
      <c r="M18" s="2" t="s">
        <v>81</v>
      </c>
      <c r="N18" s="2">
        <v>6</v>
      </c>
      <c r="O18" s="16" t="str">
        <f t="shared" si="10"/>
        <v>1F3A5</v>
      </c>
      <c r="P18" s="2">
        <f t="shared" si="8"/>
        <v>127909</v>
      </c>
    </row>
    <row r="19" spans="2:19" x14ac:dyDescent="0.25">
      <c r="C19" s="2" t="s">
        <v>82</v>
      </c>
      <c r="D19" s="2">
        <v>2</v>
      </c>
      <c r="E19" s="16" t="str">
        <f t="shared" si="0"/>
        <v>1F32F</v>
      </c>
      <c r="F19" s="2">
        <f t="shared" si="1"/>
        <v>127791</v>
      </c>
      <c r="H19" s="2" t="s">
        <v>82</v>
      </c>
      <c r="I19" s="2">
        <v>2</v>
      </c>
      <c r="J19" s="16" t="str">
        <f t="shared" si="9"/>
        <v>1F36D</v>
      </c>
      <c r="K19" s="2">
        <f t="shared" si="7"/>
        <v>127853</v>
      </c>
      <c r="M19" s="2" t="s">
        <v>82</v>
      </c>
      <c r="N19" s="2">
        <v>2</v>
      </c>
      <c r="O19" s="16" t="str">
        <f t="shared" si="10"/>
        <v>1F3AB</v>
      </c>
      <c r="P19" s="2">
        <f t="shared" si="8"/>
        <v>127915</v>
      </c>
    </row>
    <row r="20" spans="2:19" x14ac:dyDescent="0.25">
      <c r="C20" s="2" t="s">
        <v>80</v>
      </c>
      <c r="D20" s="2">
        <v>4</v>
      </c>
      <c r="E20" s="16" t="str">
        <f t="shared" si="0"/>
        <v>1F331</v>
      </c>
      <c r="F20" s="2">
        <f t="shared" si="1"/>
        <v>127793</v>
      </c>
      <c r="H20" s="2" t="s">
        <v>80</v>
      </c>
      <c r="I20" s="2">
        <v>4</v>
      </c>
      <c r="J20" s="16" t="str">
        <f t="shared" si="9"/>
        <v>1F36F</v>
      </c>
      <c r="K20" s="2">
        <f t="shared" si="7"/>
        <v>127855</v>
      </c>
      <c r="M20" s="2" t="s">
        <v>80</v>
      </c>
      <c r="N20" s="2">
        <v>4</v>
      </c>
      <c r="O20" s="16" t="str">
        <f t="shared" si="10"/>
        <v>1F3AD</v>
      </c>
      <c r="P20" s="2">
        <f t="shared" si="8"/>
        <v>127917</v>
      </c>
    </row>
    <row r="21" spans="2:19" x14ac:dyDescent="0.25">
      <c r="C21" s="2" t="s">
        <v>81</v>
      </c>
      <c r="D21" s="2">
        <v>6</v>
      </c>
      <c r="E21" s="16" t="str">
        <f t="shared" si="0"/>
        <v>1F335</v>
      </c>
      <c r="F21" s="2">
        <f t="shared" si="1"/>
        <v>127797</v>
      </c>
      <c r="H21" s="2" t="s">
        <v>81</v>
      </c>
      <c r="I21" s="2">
        <v>6</v>
      </c>
      <c r="J21" s="16" t="str">
        <f t="shared" si="9"/>
        <v>1F373</v>
      </c>
      <c r="K21" s="2">
        <f t="shared" si="7"/>
        <v>127859</v>
      </c>
      <c r="M21" s="2" t="s">
        <v>81</v>
      </c>
      <c r="N21" s="2">
        <v>6</v>
      </c>
      <c r="O21" s="16" t="str">
        <f t="shared" si="10"/>
        <v>1F3B1</v>
      </c>
      <c r="P21" s="2">
        <f t="shared" si="8"/>
        <v>127921</v>
      </c>
      <c r="S21" t="s">
        <v>284</v>
      </c>
    </row>
    <row r="22" spans="2:19" x14ac:dyDescent="0.25">
      <c r="C22" s="2" t="s">
        <v>82</v>
      </c>
      <c r="D22" s="2">
        <v>2</v>
      </c>
      <c r="E22" s="16" t="str">
        <f t="shared" si="0"/>
        <v>1F33B</v>
      </c>
      <c r="F22" s="2">
        <f t="shared" si="1"/>
        <v>127803</v>
      </c>
      <c r="H22" s="2" t="s">
        <v>82</v>
      </c>
      <c r="I22" s="2">
        <v>2</v>
      </c>
      <c r="J22" s="16" t="str">
        <f t="shared" si="9"/>
        <v>1F379</v>
      </c>
      <c r="K22" s="2">
        <f t="shared" si="7"/>
        <v>127865</v>
      </c>
      <c r="M22" s="2" t="s">
        <v>82</v>
      </c>
      <c r="N22" s="2">
        <v>2</v>
      </c>
      <c r="O22" s="16" t="str">
        <f t="shared" si="10"/>
        <v>1F3B7</v>
      </c>
      <c r="P22" s="2">
        <f t="shared" si="8"/>
        <v>127927</v>
      </c>
    </row>
    <row r="23" spans="2:19" x14ac:dyDescent="0.25">
      <c r="C23" s="2" t="s">
        <v>80</v>
      </c>
      <c r="D23" s="2">
        <v>4</v>
      </c>
      <c r="E23" s="16" t="str">
        <f t="shared" si="0"/>
        <v>1F33D</v>
      </c>
      <c r="F23" s="2">
        <f t="shared" si="1"/>
        <v>127805</v>
      </c>
      <c r="H23" s="2" t="s">
        <v>80</v>
      </c>
      <c r="I23" s="2">
        <v>4</v>
      </c>
      <c r="J23" s="16" t="str">
        <f t="shared" si="9"/>
        <v>1F37B</v>
      </c>
      <c r="K23" s="2">
        <f t="shared" si="7"/>
        <v>127867</v>
      </c>
      <c r="M23" s="2" t="s">
        <v>80</v>
      </c>
      <c r="N23" s="2">
        <v>4</v>
      </c>
      <c r="O23" s="16" t="str">
        <f t="shared" si="10"/>
        <v>1F3B9</v>
      </c>
      <c r="P23" s="2">
        <f t="shared" si="8"/>
        <v>127929</v>
      </c>
    </row>
    <row r="24" spans="2:19" x14ac:dyDescent="0.25">
      <c r="C24" s="2" t="s">
        <v>81</v>
      </c>
      <c r="D24" s="2">
        <v>6</v>
      </c>
      <c r="E24" s="16" t="str">
        <f t="shared" si="0"/>
        <v>1F341</v>
      </c>
      <c r="F24" s="2">
        <f t="shared" si="1"/>
        <v>127809</v>
      </c>
      <c r="H24" s="2" t="s">
        <v>81</v>
      </c>
      <c r="I24" s="2">
        <v>6</v>
      </c>
      <c r="J24" s="16" t="str">
        <f t="shared" si="9"/>
        <v>1F37F</v>
      </c>
      <c r="K24" s="2">
        <f t="shared" si="7"/>
        <v>127871</v>
      </c>
      <c r="M24" s="2" t="s">
        <v>81</v>
      </c>
      <c r="N24" s="2">
        <v>6</v>
      </c>
      <c r="O24" s="16" t="str">
        <f t="shared" si="10"/>
        <v>1F3BD</v>
      </c>
      <c r="P24" s="2">
        <f t="shared" si="8"/>
        <v>127933</v>
      </c>
    </row>
    <row r="25" spans="2:19" x14ac:dyDescent="0.25">
      <c r="C25" s="2" t="s">
        <v>82</v>
      </c>
      <c r="D25" s="2">
        <v>2</v>
      </c>
      <c r="E25" s="16" t="str">
        <f t="shared" si="0"/>
        <v>1F347</v>
      </c>
      <c r="F25" s="2">
        <f t="shared" si="1"/>
        <v>127815</v>
      </c>
      <c r="H25" s="2" t="s">
        <v>82</v>
      </c>
      <c r="I25" s="2">
        <v>2</v>
      </c>
      <c r="J25" s="16" t="str">
        <f t="shared" si="9"/>
        <v>1F385</v>
      </c>
      <c r="K25" s="2">
        <f t="shared" si="7"/>
        <v>127877</v>
      </c>
      <c r="M25" s="2" t="s">
        <v>82</v>
      </c>
      <c r="N25" s="2">
        <v>2</v>
      </c>
      <c r="O25" s="16" t="str">
        <f t="shared" si="10"/>
        <v>1F3C3</v>
      </c>
      <c r="P25" s="2">
        <f t="shared" si="8"/>
        <v>127939</v>
      </c>
    </row>
    <row r="26" spans="2:19" x14ac:dyDescent="0.25">
      <c r="C26" s="2" t="s">
        <v>80</v>
      </c>
      <c r="D26" s="2">
        <v>4</v>
      </c>
      <c r="E26" s="16" t="str">
        <f t="shared" ref="E26:E28" si="11">DEC2HEX(SUM(HEX2DEC(E25),D25))</f>
        <v>1F349</v>
      </c>
      <c r="F26" s="2">
        <f t="shared" ref="F26:F28" si="12">HEX2DEC(E26)</f>
        <v>127817</v>
      </c>
      <c r="H26" s="2" t="s">
        <v>80</v>
      </c>
      <c r="I26" s="2">
        <v>4</v>
      </c>
      <c r="J26" s="16" t="str">
        <f t="shared" ref="J26:J28" si="13">DEC2HEX(SUM(HEX2DEC(J25),I25))</f>
        <v>1F387</v>
      </c>
      <c r="K26" s="2">
        <f t="shared" ref="K26:K28" si="14">HEX2DEC(J26)</f>
        <v>127879</v>
      </c>
      <c r="M26" s="2" t="s">
        <v>80</v>
      </c>
      <c r="N26" s="2">
        <v>4</v>
      </c>
      <c r="O26" s="16" t="str">
        <f t="shared" ref="O26:O28" si="15">DEC2HEX(SUM(HEX2DEC(O25),N25))</f>
        <v>1F3C5</v>
      </c>
      <c r="P26" s="2">
        <f t="shared" ref="P26:P28" si="16">HEX2DEC(O26)</f>
        <v>127941</v>
      </c>
    </row>
    <row r="27" spans="2:19" x14ac:dyDescent="0.25">
      <c r="C27" s="2" t="s">
        <v>81</v>
      </c>
      <c r="D27" s="2">
        <v>6</v>
      </c>
      <c r="E27" s="16" t="str">
        <f t="shared" si="11"/>
        <v>1F34D</v>
      </c>
      <c r="F27" s="2">
        <f t="shared" si="12"/>
        <v>127821</v>
      </c>
      <c r="H27" s="2" t="s">
        <v>81</v>
      </c>
      <c r="I27" s="2">
        <v>6</v>
      </c>
      <c r="J27" s="16" t="str">
        <f t="shared" si="13"/>
        <v>1F38B</v>
      </c>
      <c r="K27" s="2">
        <f t="shared" si="14"/>
        <v>127883</v>
      </c>
      <c r="M27" s="2" t="s">
        <v>81</v>
      </c>
      <c r="N27" s="2">
        <v>6</v>
      </c>
      <c r="O27" s="16" t="str">
        <f t="shared" si="15"/>
        <v>1F3C9</v>
      </c>
      <c r="P27" s="2">
        <f t="shared" si="16"/>
        <v>127945</v>
      </c>
    </row>
    <row r="28" spans="2:19" x14ac:dyDescent="0.25">
      <c r="C28" s="2" t="s">
        <v>82</v>
      </c>
      <c r="D28" s="2">
        <v>2</v>
      </c>
      <c r="E28" s="16" t="str">
        <f t="shared" si="11"/>
        <v>1F353</v>
      </c>
      <c r="F28" s="2">
        <f t="shared" si="12"/>
        <v>127827</v>
      </c>
      <c r="H28" s="2" t="s">
        <v>82</v>
      </c>
      <c r="I28" s="2">
        <v>2</v>
      </c>
      <c r="J28" s="16" t="str">
        <f t="shared" si="13"/>
        <v>1F391</v>
      </c>
      <c r="K28" s="2">
        <f t="shared" si="14"/>
        <v>127889</v>
      </c>
      <c r="M28" s="2" t="s">
        <v>82</v>
      </c>
      <c r="N28" s="2">
        <v>2</v>
      </c>
      <c r="O28" s="16" t="str">
        <f t="shared" si="15"/>
        <v>1F3CF</v>
      </c>
      <c r="P28" s="2">
        <f t="shared" si="16"/>
        <v>127951</v>
      </c>
    </row>
    <row r="29" spans="2:19" x14ac:dyDescent="0.25">
      <c r="B29" s="42" t="s">
        <v>217</v>
      </c>
      <c r="C29" s="3" t="s">
        <v>84</v>
      </c>
      <c r="D29" s="3">
        <v>4</v>
      </c>
      <c r="E29" s="38" t="str">
        <f>DEC2HEX(SUM(HEX2DEC(J28),I28))</f>
        <v>1F393</v>
      </c>
      <c r="F29" s="3">
        <f t="shared" si="1"/>
        <v>127891</v>
      </c>
      <c r="M29" s="51"/>
      <c r="N29" s="51"/>
      <c r="O29" s="51"/>
      <c r="P29" s="51"/>
    </row>
    <row r="30" spans="2:19" x14ac:dyDescent="0.25">
      <c r="B30" s="3"/>
      <c r="C30" s="3" t="s">
        <v>75</v>
      </c>
      <c r="D30" s="3">
        <v>4</v>
      </c>
      <c r="E30" s="38" t="str">
        <f t="shared" ref="E30:E47" si="17">DEC2HEX(SUM(HEX2DEC(E29),D29))</f>
        <v>1F397</v>
      </c>
      <c r="F30" s="3">
        <f t="shared" si="1"/>
        <v>127895</v>
      </c>
      <c r="H30" s="3" t="s">
        <v>75</v>
      </c>
      <c r="I30" s="3">
        <v>4</v>
      </c>
      <c r="J30" s="38" t="str">
        <f>DEC2HEX(SUM(HEX2DEC(E32),I30))</f>
        <v>1F3AB</v>
      </c>
      <c r="K30" s="3">
        <f>HEX2DEC(J30)</f>
        <v>127915</v>
      </c>
      <c r="M30" s="2" t="s">
        <v>75</v>
      </c>
      <c r="N30" s="2">
        <v>4</v>
      </c>
      <c r="O30" s="16" t="str">
        <f>DEC2HEX(SUM(HEX2DEC(J32),I32))</f>
        <v>1F3BF</v>
      </c>
      <c r="P30" s="2">
        <f>HEX2DEC(O30)</f>
        <v>127935</v>
      </c>
    </row>
    <row r="31" spans="2:19" x14ac:dyDescent="0.25">
      <c r="B31" s="3"/>
      <c r="C31" s="3" t="s">
        <v>76</v>
      </c>
      <c r="D31" s="3">
        <v>12</v>
      </c>
      <c r="E31" s="38" t="str">
        <f t="shared" si="17"/>
        <v>1F39B</v>
      </c>
      <c r="F31" s="3">
        <f t="shared" si="1"/>
        <v>127899</v>
      </c>
      <c r="H31" s="3" t="s">
        <v>76</v>
      </c>
      <c r="I31" s="3">
        <v>12</v>
      </c>
      <c r="J31" s="38" t="str">
        <f>DEC2HEX(SUM(HEX2DEC(J30),I30))</f>
        <v>1F3AF</v>
      </c>
      <c r="K31" s="3">
        <f>HEX2DEC(J31)</f>
        <v>127919</v>
      </c>
      <c r="M31" s="2" t="s">
        <v>76</v>
      </c>
      <c r="N31" s="2">
        <v>12</v>
      </c>
      <c r="O31" s="16" t="str">
        <f>DEC2HEX(SUM(HEX2DEC(O30),N30))</f>
        <v>1F3C3</v>
      </c>
      <c r="P31" s="2">
        <f>HEX2DEC(O31)</f>
        <v>127939</v>
      </c>
    </row>
    <row r="32" spans="2:19" x14ac:dyDescent="0.25">
      <c r="B32" s="3"/>
      <c r="C32" s="3" t="s">
        <v>78</v>
      </c>
      <c r="D32" s="3">
        <v>4</v>
      </c>
      <c r="E32" s="38" t="str">
        <f t="shared" si="17"/>
        <v>1F3A7</v>
      </c>
      <c r="F32" s="3">
        <f t="shared" si="1"/>
        <v>127911</v>
      </c>
      <c r="H32" s="3" t="s">
        <v>78</v>
      </c>
      <c r="I32" s="3">
        <v>4</v>
      </c>
      <c r="J32" s="38" t="str">
        <f>DEC2HEX(SUM(HEX2DEC(J31),I31))</f>
        <v>1F3BB</v>
      </c>
      <c r="K32" s="3">
        <f>HEX2DEC(J32)</f>
        <v>127931</v>
      </c>
      <c r="M32" s="2" t="s">
        <v>78</v>
      </c>
      <c r="N32" s="2">
        <v>4</v>
      </c>
      <c r="O32" s="16" t="str">
        <f>DEC2HEX(SUM(HEX2DEC(O31),N31))</f>
        <v>1F3CF</v>
      </c>
      <c r="P32" s="2">
        <f>HEX2DEC(O32)</f>
        <v>127951</v>
      </c>
    </row>
    <row r="33" spans="2:19" x14ac:dyDescent="0.25">
      <c r="B33" s="32" t="s">
        <v>251</v>
      </c>
      <c r="C33" s="46" t="s">
        <v>252</v>
      </c>
      <c r="D33" s="46">
        <v>4</v>
      </c>
      <c r="E33" s="38" t="str">
        <f>DEC2HEX(SUM(HEX2DEC(J32),I32))</f>
        <v>1F3BF</v>
      </c>
      <c r="F33" s="3">
        <f t="shared" ref="F33" si="18">HEX2DEC(E33)</f>
        <v>127935</v>
      </c>
      <c r="H33" s="46" t="s">
        <v>252</v>
      </c>
      <c r="I33" s="46">
        <v>4</v>
      </c>
      <c r="J33" s="38" t="str">
        <f>DEC2HEX(SUM(HEX2DEC(E33),D33))</f>
        <v>1F3C3</v>
      </c>
      <c r="K33" s="3">
        <f>HEX2DEC(J33)</f>
        <v>127939</v>
      </c>
      <c r="M33" s="36" t="s">
        <v>252</v>
      </c>
      <c r="N33" s="36">
        <v>4</v>
      </c>
      <c r="O33" s="16" t="str">
        <f>DEC2HEX(SUM(HEX2DEC(J33),I33))</f>
        <v>1F3C7</v>
      </c>
      <c r="P33" s="2">
        <f>HEX2DEC(O33)</f>
        <v>127943</v>
      </c>
    </row>
    <row r="34" spans="2:19" x14ac:dyDescent="0.25">
      <c r="B34" s="32" t="s">
        <v>221</v>
      </c>
      <c r="C34" s="39" t="s">
        <v>79</v>
      </c>
      <c r="D34" s="39">
        <v>1</v>
      </c>
      <c r="E34" s="40" t="str">
        <f>DEC2HEX(SUM(HEX2DEC(J33),I33))</f>
        <v>1F3C7</v>
      </c>
      <c r="F34" s="39">
        <f t="shared" si="1"/>
        <v>127943</v>
      </c>
      <c r="H34" s="17" t="s">
        <v>79</v>
      </c>
      <c r="I34" s="17">
        <v>1</v>
      </c>
      <c r="J34" s="18" t="str">
        <f>DEC2HEX(SUM(HEX2DEC(E50),D50))</f>
        <v>1F405</v>
      </c>
      <c r="K34" s="17">
        <f t="shared" ref="K34:K47" si="19">HEX2DEC(J34)</f>
        <v>128005</v>
      </c>
      <c r="M34" s="17" t="s">
        <v>79</v>
      </c>
      <c r="N34" s="17">
        <v>1</v>
      </c>
      <c r="O34" s="18" t="str">
        <f>DEC2HEX(SUM(HEX2DEC(J50),I50))</f>
        <v>1F443</v>
      </c>
      <c r="P34" s="17">
        <f t="shared" ref="P34:P47" si="20">HEX2DEC(O34)</f>
        <v>128067</v>
      </c>
    </row>
    <row r="35" spans="2:19" x14ac:dyDescent="0.25">
      <c r="C35" s="17" t="s">
        <v>85</v>
      </c>
      <c r="D35" s="17">
        <v>1</v>
      </c>
      <c r="E35" s="18" t="str">
        <f t="shared" si="17"/>
        <v>1F3C8</v>
      </c>
      <c r="F35" s="17">
        <f t="shared" si="1"/>
        <v>127944</v>
      </c>
      <c r="H35" s="17" t="s">
        <v>85</v>
      </c>
      <c r="I35" s="17">
        <v>1</v>
      </c>
      <c r="J35" s="18" t="str">
        <f t="shared" ref="J35:J47" si="21">DEC2HEX(SUM(HEX2DEC(J34),I34))</f>
        <v>1F406</v>
      </c>
      <c r="K35" s="17">
        <f t="shared" si="19"/>
        <v>128006</v>
      </c>
      <c r="M35" s="17" t="s">
        <v>85</v>
      </c>
      <c r="N35" s="17">
        <v>1</v>
      </c>
      <c r="O35" s="18" t="str">
        <f t="shared" ref="O35:O47" si="22">DEC2HEX(SUM(HEX2DEC(O34),N34))</f>
        <v>1F444</v>
      </c>
      <c r="P35" s="17">
        <f t="shared" si="20"/>
        <v>128068</v>
      </c>
    </row>
    <row r="36" spans="2:19" x14ac:dyDescent="0.25">
      <c r="C36" s="17" t="s">
        <v>80</v>
      </c>
      <c r="D36" s="17">
        <v>4</v>
      </c>
      <c r="E36" s="18" t="str">
        <f t="shared" si="17"/>
        <v>1F3C9</v>
      </c>
      <c r="F36" s="17">
        <f t="shared" si="1"/>
        <v>127945</v>
      </c>
      <c r="H36" s="17" t="s">
        <v>80</v>
      </c>
      <c r="I36" s="17">
        <v>4</v>
      </c>
      <c r="J36" s="18" t="str">
        <f t="shared" si="21"/>
        <v>1F407</v>
      </c>
      <c r="K36" s="17">
        <f t="shared" si="19"/>
        <v>128007</v>
      </c>
      <c r="M36" s="17" t="s">
        <v>80</v>
      </c>
      <c r="N36" s="17">
        <v>4</v>
      </c>
      <c r="O36" s="18" t="str">
        <f t="shared" si="22"/>
        <v>1F445</v>
      </c>
      <c r="P36" s="17">
        <f t="shared" si="20"/>
        <v>128069</v>
      </c>
    </row>
    <row r="37" spans="2:19" x14ac:dyDescent="0.25">
      <c r="C37" s="17" t="s">
        <v>81</v>
      </c>
      <c r="D37" s="17">
        <v>6</v>
      </c>
      <c r="E37" s="18" t="str">
        <f t="shared" si="17"/>
        <v>1F3CD</v>
      </c>
      <c r="F37" s="17">
        <f t="shared" si="1"/>
        <v>127949</v>
      </c>
      <c r="H37" s="17" t="s">
        <v>81</v>
      </c>
      <c r="I37" s="17">
        <v>6</v>
      </c>
      <c r="J37" s="18" t="str">
        <f t="shared" si="21"/>
        <v>1F40B</v>
      </c>
      <c r="K37" s="17">
        <f t="shared" si="19"/>
        <v>128011</v>
      </c>
      <c r="M37" s="17" t="s">
        <v>81</v>
      </c>
      <c r="N37" s="17">
        <v>6</v>
      </c>
      <c r="O37" s="18" t="str">
        <f t="shared" si="22"/>
        <v>1F449</v>
      </c>
      <c r="P37" s="17">
        <f t="shared" si="20"/>
        <v>128073</v>
      </c>
    </row>
    <row r="38" spans="2:19" x14ac:dyDescent="0.25">
      <c r="C38" s="17" t="s">
        <v>82</v>
      </c>
      <c r="D38" s="17">
        <v>2</v>
      </c>
      <c r="E38" s="18" t="str">
        <f t="shared" si="17"/>
        <v>1F3D3</v>
      </c>
      <c r="F38" s="17">
        <f t="shared" si="1"/>
        <v>127955</v>
      </c>
      <c r="H38" s="17" t="s">
        <v>82</v>
      </c>
      <c r="I38" s="17">
        <v>2</v>
      </c>
      <c r="J38" s="18" t="str">
        <f t="shared" si="21"/>
        <v>1F411</v>
      </c>
      <c r="K38" s="17">
        <f t="shared" si="19"/>
        <v>128017</v>
      </c>
      <c r="M38" s="17" t="s">
        <v>82</v>
      </c>
      <c r="N38" s="17">
        <v>2</v>
      </c>
      <c r="O38" s="18" t="str">
        <f t="shared" si="22"/>
        <v>1F44F</v>
      </c>
      <c r="P38" s="17">
        <f t="shared" si="20"/>
        <v>128079</v>
      </c>
    </row>
    <row r="39" spans="2:19" x14ac:dyDescent="0.25">
      <c r="C39" s="17" t="s">
        <v>80</v>
      </c>
      <c r="D39" s="17">
        <v>4</v>
      </c>
      <c r="E39" s="18" t="str">
        <f t="shared" si="17"/>
        <v>1F3D5</v>
      </c>
      <c r="F39" s="17">
        <f t="shared" si="1"/>
        <v>127957</v>
      </c>
      <c r="H39" s="17" t="s">
        <v>80</v>
      </c>
      <c r="I39" s="17">
        <v>4</v>
      </c>
      <c r="J39" s="18" t="str">
        <f t="shared" si="21"/>
        <v>1F413</v>
      </c>
      <c r="K39" s="17">
        <f t="shared" si="19"/>
        <v>128019</v>
      </c>
      <c r="M39" s="17" t="s">
        <v>80</v>
      </c>
      <c r="N39" s="17">
        <v>4</v>
      </c>
      <c r="O39" s="18" t="str">
        <f t="shared" si="22"/>
        <v>1F451</v>
      </c>
      <c r="P39" s="17">
        <f t="shared" si="20"/>
        <v>128081</v>
      </c>
    </row>
    <row r="40" spans="2:19" x14ac:dyDescent="0.25">
      <c r="C40" s="17" t="s">
        <v>81</v>
      </c>
      <c r="D40" s="17">
        <v>6</v>
      </c>
      <c r="E40" s="18" t="str">
        <f t="shared" si="17"/>
        <v>1F3D9</v>
      </c>
      <c r="F40" s="17">
        <f t="shared" si="1"/>
        <v>127961</v>
      </c>
      <c r="H40" s="17" t="s">
        <v>81</v>
      </c>
      <c r="I40" s="17">
        <v>6</v>
      </c>
      <c r="J40" s="18" t="str">
        <f t="shared" si="21"/>
        <v>1F417</v>
      </c>
      <c r="K40" s="17">
        <f t="shared" si="19"/>
        <v>128023</v>
      </c>
      <c r="M40" s="17" t="s">
        <v>81</v>
      </c>
      <c r="N40" s="17">
        <v>6</v>
      </c>
      <c r="O40" s="18" t="str">
        <f t="shared" si="22"/>
        <v>1F455</v>
      </c>
      <c r="P40" s="17">
        <f t="shared" si="20"/>
        <v>128085</v>
      </c>
    </row>
    <row r="41" spans="2:19" x14ac:dyDescent="0.25">
      <c r="C41" s="17" t="s">
        <v>82</v>
      </c>
      <c r="D41" s="17">
        <v>2</v>
      </c>
      <c r="E41" s="18" t="str">
        <f t="shared" si="17"/>
        <v>1F3DF</v>
      </c>
      <c r="F41" s="17">
        <f t="shared" si="1"/>
        <v>127967</v>
      </c>
      <c r="H41" s="17" t="s">
        <v>82</v>
      </c>
      <c r="I41" s="17">
        <v>2</v>
      </c>
      <c r="J41" s="18" t="str">
        <f t="shared" si="21"/>
        <v>1F41D</v>
      </c>
      <c r="K41" s="17">
        <f t="shared" si="19"/>
        <v>128029</v>
      </c>
      <c r="M41" s="17" t="s">
        <v>82</v>
      </c>
      <c r="N41" s="17">
        <v>2</v>
      </c>
      <c r="O41" s="18" t="str">
        <f t="shared" si="22"/>
        <v>1F45B</v>
      </c>
      <c r="P41" s="17">
        <f t="shared" si="20"/>
        <v>128091</v>
      </c>
    </row>
    <row r="42" spans="2:19" x14ac:dyDescent="0.25">
      <c r="C42" s="17" t="s">
        <v>80</v>
      </c>
      <c r="D42" s="17">
        <v>4</v>
      </c>
      <c r="E42" s="18" t="str">
        <f t="shared" si="17"/>
        <v>1F3E1</v>
      </c>
      <c r="F42" s="17">
        <f t="shared" si="1"/>
        <v>127969</v>
      </c>
      <c r="H42" s="17" t="s">
        <v>80</v>
      </c>
      <c r="I42" s="17">
        <v>4</v>
      </c>
      <c r="J42" s="18" t="str">
        <f t="shared" si="21"/>
        <v>1F41F</v>
      </c>
      <c r="K42" s="17">
        <f t="shared" si="19"/>
        <v>128031</v>
      </c>
      <c r="M42" s="17" t="s">
        <v>80</v>
      </c>
      <c r="N42" s="17">
        <v>4</v>
      </c>
      <c r="O42" s="18" t="str">
        <f t="shared" si="22"/>
        <v>1F45D</v>
      </c>
      <c r="P42" s="17">
        <f t="shared" si="20"/>
        <v>128093</v>
      </c>
    </row>
    <row r="43" spans="2:19" x14ac:dyDescent="0.25">
      <c r="C43" s="17" t="s">
        <v>81</v>
      </c>
      <c r="D43" s="17">
        <v>6</v>
      </c>
      <c r="E43" s="18" t="str">
        <f t="shared" si="17"/>
        <v>1F3E5</v>
      </c>
      <c r="F43" s="17">
        <f t="shared" si="1"/>
        <v>127973</v>
      </c>
      <c r="H43" s="17" t="s">
        <v>81</v>
      </c>
      <c r="I43" s="17">
        <v>6</v>
      </c>
      <c r="J43" s="18" t="str">
        <f t="shared" si="21"/>
        <v>1F423</v>
      </c>
      <c r="K43" s="17">
        <f t="shared" si="19"/>
        <v>128035</v>
      </c>
      <c r="M43" s="17" t="s">
        <v>81</v>
      </c>
      <c r="N43" s="17">
        <v>6</v>
      </c>
      <c r="O43" s="18" t="str">
        <f t="shared" si="22"/>
        <v>1F461</v>
      </c>
      <c r="P43" s="17">
        <f t="shared" si="20"/>
        <v>128097</v>
      </c>
      <c r="S43" t="s">
        <v>284</v>
      </c>
    </row>
    <row r="44" spans="2:19" x14ac:dyDescent="0.25">
      <c r="C44" s="17" t="s">
        <v>82</v>
      </c>
      <c r="D44" s="17">
        <v>2</v>
      </c>
      <c r="E44" s="18" t="str">
        <f t="shared" si="17"/>
        <v>1F3EB</v>
      </c>
      <c r="F44" s="17">
        <f t="shared" si="1"/>
        <v>127979</v>
      </c>
      <c r="H44" s="17" t="s">
        <v>82</v>
      </c>
      <c r="I44" s="17">
        <v>2</v>
      </c>
      <c r="J44" s="18" t="str">
        <f t="shared" si="21"/>
        <v>1F429</v>
      </c>
      <c r="K44" s="17">
        <f t="shared" si="19"/>
        <v>128041</v>
      </c>
      <c r="M44" s="17" t="s">
        <v>82</v>
      </c>
      <c r="N44" s="17">
        <v>2</v>
      </c>
      <c r="O44" s="18" t="str">
        <f t="shared" si="22"/>
        <v>1F467</v>
      </c>
      <c r="P44" s="17">
        <f t="shared" si="20"/>
        <v>128103</v>
      </c>
    </row>
    <row r="45" spans="2:19" x14ac:dyDescent="0.25">
      <c r="C45" s="17" t="s">
        <v>80</v>
      </c>
      <c r="D45" s="17">
        <v>4</v>
      </c>
      <c r="E45" s="18" t="str">
        <f t="shared" si="17"/>
        <v>1F3ED</v>
      </c>
      <c r="F45" s="17">
        <f t="shared" si="1"/>
        <v>127981</v>
      </c>
      <c r="H45" s="17" t="s">
        <v>80</v>
      </c>
      <c r="I45" s="17">
        <v>4</v>
      </c>
      <c r="J45" s="18" t="str">
        <f t="shared" si="21"/>
        <v>1F42B</v>
      </c>
      <c r="K45" s="17">
        <f t="shared" si="19"/>
        <v>128043</v>
      </c>
      <c r="M45" s="17" t="s">
        <v>80</v>
      </c>
      <c r="N45" s="17">
        <v>4</v>
      </c>
      <c r="O45" s="18" t="str">
        <f t="shared" si="22"/>
        <v>1F469</v>
      </c>
      <c r="P45" s="17">
        <f t="shared" si="20"/>
        <v>128105</v>
      </c>
    </row>
    <row r="46" spans="2:19" x14ac:dyDescent="0.25">
      <c r="C46" s="17" t="s">
        <v>81</v>
      </c>
      <c r="D46" s="17">
        <v>6</v>
      </c>
      <c r="E46" s="18" t="str">
        <f t="shared" si="17"/>
        <v>1F3F1</v>
      </c>
      <c r="F46" s="17">
        <f t="shared" si="1"/>
        <v>127985</v>
      </c>
      <c r="H46" s="17" t="s">
        <v>81</v>
      </c>
      <c r="I46" s="17">
        <v>6</v>
      </c>
      <c r="J46" s="18" t="str">
        <f t="shared" si="21"/>
        <v>1F42F</v>
      </c>
      <c r="K46" s="17">
        <f t="shared" si="19"/>
        <v>128047</v>
      </c>
      <c r="M46" s="17" t="s">
        <v>81</v>
      </c>
      <c r="N46" s="17">
        <v>6</v>
      </c>
      <c r="O46" s="18" t="str">
        <f t="shared" si="22"/>
        <v>1F46D</v>
      </c>
      <c r="P46" s="17">
        <f t="shared" si="20"/>
        <v>128109</v>
      </c>
    </row>
    <row r="47" spans="2:19" x14ac:dyDescent="0.25">
      <c r="C47" s="17" t="s">
        <v>82</v>
      </c>
      <c r="D47" s="17">
        <v>2</v>
      </c>
      <c r="E47" s="18" t="str">
        <f t="shared" si="17"/>
        <v>1F3F7</v>
      </c>
      <c r="F47" s="17">
        <f t="shared" si="1"/>
        <v>127991</v>
      </c>
      <c r="H47" s="17" t="s">
        <v>82</v>
      </c>
      <c r="I47" s="17">
        <v>2</v>
      </c>
      <c r="J47" s="18" t="str">
        <f t="shared" si="21"/>
        <v>1F435</v>
      </c>
      <c r="K47" s="17">
        <f t="shared" si="19"/>
        <v>128053</v>
      </c>
      <c r="M47" s="17" t="s">
        <v>82</v>
      </c>
      <c r="N47" s="17">
        <v>2</v>
      </c>
      <c r="O47" s="18" t="str">
        <f t="shared" si="22"/>
        <v>1F473</v>
      </c>
      <c r="P47" s="17">
        <f t="shared" si="20"/>
        <v>128115</v>
      </c>
    </row>
    <row r="48" spans="2:19" x14ac:dyDescent="0.25">
      <c r="C48" s="17" t="s">
        <v>80</v>
      </c>
      <c r="D48" s="17">
        <v>4</v>
      </c>
      <c r="E48" s="18" t="str">
        <f t="shared" ref="E48:E50" si="23">DEC2HEX(SUM(HEX2DEC(E47),D47))</f>
        <v>1F3F9</v>
      </c>
      <c r="F48" s="17">
        <f t="shared" ref="F48:F50" si="24">HEX2DEC(E48)</f>
        <v>127993</v>
      </c>
      <c r="H48" s="17" t="s">
        <v>80</v>
      </c>
      <c r="I48" s="17">
        <v>4</v>
      </c>
      <c r="J48" s="18" t="str">
        <f t="shared" ref="J48:J50" si="25">DEC2HEX(SUM(HEX2DEC(J47),I47))</f>
        <v>1F437</v>
      </c>
      <c r="K48" s="17">
        <f t="shared" ref="K48:K50" si="26">HEX2DEC(J48)</f>
        <v>128055</v>
      </c>
      <c r="M48" s="17" t="s">
        <v>80</v>
      </c>
      <c r="N48" s="17">
        <v>4</v>
      </c>
      <c r="O48" s="18" t="str">
        <f t="shared" ref="O48:O50" si="27">DEC2HEX(SUM(HEX2DEC(O47),N47))</f>
        <v>1F475</v>
      </c>
      <c r="P48" s="17">
        <f t="shared" ref="P48:P50" si="28">HEX2DEC(O48)</f>
        <v>128117</v>
      </c>
    </row>
    <row r="49" spans="2:16" x14ac:dyDescent="0.25">
      <c r="C49" s="17" t="s">
        <v>81</v>
      </c>
      <c r="D49" s="17">
        <v>6</v>
      </c>
      <c r="E49" s="18" t="str">
        <f t="shared" si="23"/>
        <v>1F3FD</v>
      </c>
      <c r="F49" s="17">
        <f t="shared" si="24"/>
        <v>127997</v>
      </c>
      <c r="H49" s="17" t="s">
        <v>81</v>
      </c>
      <c r="I49" s="17">
        <v>6</v>
      </c>
      <c r="J49" s="18" t="str">
        <f t="shared" si="25"/>
        <v>1F43B</v>
      </c>
      <c r="K49" s="17">
        <f t="shared" si="26"/>
        <v>128059</v>
      </c>
      <c r="M49" s="17" t="s">
        <v>81</v>
      </c>
      <c r="N49" s="17">
        <v>6</v>
      </c>
      <c r="O49" s="18" t="str">
        <f t="shared" si="27"/>
        <v>1F479</v>
      </c>
      <c r="P49" s="17">
        <f t="shared" si="28"/>
        <v>128121</v>
      </c>
    </row>
    <row r="50" spans="2:16" x14ac:dyDescent="0.25">
      <c r="C50" s="17" t="s">
        <v>82</v>
      </c>
      <c r="D50" s="17">
        <v>2</v>
      </c>
      <c r="E50" s="18" t="str">
        <f t="shared" si="23"/>
        <v>1F403</v>
      </c>
      <c r="F50" s="17">
        <f t="shared" si="24"/>
        <v>128003</v>
      </c>
      <c r="H50" s="17" t="s">
        <v>82</v>
      </c>
      <c r="I50" s="17">
        <v>2</v>
      </c>
      <c r="J50" s="18" t="str">
        <f t="shared" si="25"/>
        <v>1F441</v>
      </c>
      <c r="K50" s="17">
        <f t="shared" si="26"/>
        <v>128065</v>
      </c>
      <c r="M50" s="17" t="s">
        <v>82</v>
      </c>
      <c r="N50" s="17">
        <v>2</v>
      </c>
      <c r="O50" s="18" t="str">
        <f t="shared" si="27"/>
        <v>1F47F</v>
      </c>
      <c r="P50" s="17">
        <f t="shared" si="28"/>
        <v>128127</v>
      </c>
    </row>
    <row r="51" spans="2:16" x14ac:dyDescent="0.25">
      <c r="B51" s="32" t="s">
        <v>219</v>
      </c>
      <c r="C51" s="3" t="s">
        <v>83</v>
      </c>
      <c r="D51" s="3">
        <v>12</v>
      </c>
      <c r="E51" s="38" t="str">
        <f>DEC2HEX(SUM(HEX2DEC(J50),I50))</f>
        <v>1F443</v>
      </c>
      <c r="F51" s="3">
        <f t="shared" si="1"/>
        <v>128067</v>
      </c>
      <c r="J51" s="11"/>
    </row>
    <row r="52" spans="2:16" x14ac:dyDescent="0.25">
      <c r="B52" t="s">
        <v>213</v>
      </c>
      <c r="C52" s="3"/>
      <c r="D52" s="3"/>
      <c r="E52" s="38" t="str">
        <f t="shared" ref="E52" si="29">DEC2HEX(SUM(HEX2DEC(E51),D51))</f>
        <v>1F44F</v>
      </c>
      <c r="F52" s="3">
        <f t="shared" si="1"/>
        <v>128079</v>
      </c>
    </row>
  </sheetData>
  <mergeCells count="7">
    <mergeCell ref="C1:F1"/>
    <mergeCell ref="M4:P4"/>
    <mergeCell ref="B3:F3"/>
    <mergeCell ref="C2:F2"/>
    <mergeCell ref="H2:K2"/>
    <mergeCell ref="C4:F4"/>
    <mergeCell ref="H4:K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7"/>
  <sheetViews>
    <sheetView topLeftCell="A15" zoomScale="85" zoomScaleNormal="85" workbookViewId="0">
      <selection activeCell="R22" sqref="R22"/>
    </sheetView>
  </sheetViews>
  <sheetFormatPr defaultRowHeight="15" x14ac:dyDescent="0.25"/>
  <cols>
    <col min="1" max="1" width="29" customWidth="1"/>
    <col min="3" max="3" width="12.42578125" customWidth="1"/>
    <col min="7" max="7" width="28.85546875" customWidth="1"/>
    <col min="8" max="8" width="11" customWidth="1"/>
    <col min="11" max="11" width="27.85546875" style="1" customWidth="1"/>
    <col min="13" max="13" width="18.28515625" customWidth="1"/>
    <col min="14" max="14" width="15.28515625" customWidth="1"/>
  </cols>
  <sheetData>
    <row r="1" spans="1:16" ht="21" x14ac:dyDescent="0.25">
      <c r="A1" s="72" t="s">
        <v>89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6" ht="21" customHeight="1" x14ac:dyDescent="0.25">
      <c r="A2" s="72" t="s">
        <v>172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25"/>
      <c r="N2" s="25"/>
    </row>
    <row r="3" spans="1:16" ht="60" x14ac:dyDescent="0.25">
      <c r="K3" s="1" t="s">
        <v>55</v>
      </c>
      <c r="L3">
        <f>L25</f>
        <v>96</v>
      </c>
      <c r="N3" s="45" t="s">
        <v>229</v>
      </c>
      <c r="O3" s="11" t="str">
        <f>activity_calendar!E52</f>
        <v>1F44F</v>
      </c>
    </row>
    <row r="5" spans="1:16" ht="30" x14ac:dyDescent="0.25">
      <c r="J5" s="13" t="s">
        <v>128</v>
      </c>
      <c r="K5" s="26" t="s">
        <v>58</v>
      </c>
      <c r="L5" s="14" t="s">
        <v>115</v>
      </c>
      <c r="M5" s="14" t="s">
        <v>129</v>
      </c>
    </row>
    <row r="6" spans="1:16" x14ac:dyDescent="0.25">
      <c r="J6" s="14">
        <v>0</v>
      </c>
      <c r="K6" s="27" t="s">
        <v>90</v>
      </c>
      <c r="L6" s="14">
        <v>12</v>
      </c>
      <c r="M6" s="14">
        <v>0</v>
      </c>
    </row>
    <row r="7" spans="1:16" x14ac:dyDescent="0.25">
      <c r="J7" s="14">
        <f>SUM(J6,L6)</f>
        <v>12</v>
      </c>
      <c r="K7" s="27" t="s">
        <v>91</v>
      </c>
      <c r="L7" s="14">
        <v>4</v>
      </c>
      <c r="M7" s="14">
        <f>(1+M6)</f>
        <v>1</v>
      </c>
    </row>
    <row r="8" spans="1:16" x14ac:dyDescent="0.25">
      <c r="J8" s="14">
        <f>SUM(J7,L7)</f>
        <v>16</v>
      </c>
      <c r="K8" s="27" t="s">
        <v>1</v>
      </c>
      <c r="L8" s="14">
        <v>4</v>
      </c>
      <c r="M8" s="14">
        <f t="shared" ref="M8:M24" si="0">(1+M7)</f>
        <v>2</v>
      </c>
    </row>
    <row r="9" spans="1:16" x14ac:dyDescent="0.25">
      <c r="J9" s="14">
        <f t="shared" ref="J9:J25" si="1">SUM(J8,L8)</f>
        <v>20</v>
      </c>
      <c r="K9" s="27" t="s">
        <v>117</v>
      </c>
      <c r="L9" s="14">
        <v>4</v>
      </c>
      <c r="M9" s="14">
        <f t="shared" si="0"/>
        <v>3</v>
      </c>
    </row>
    <row r="10" spans="1:16" ht="21" x14ac:dyDescent="0.25">
      <c r="A10" s="32" t="s">
        <v>230</v>
      </c>
      <c r="B10">
        <f>numberofbytes_to_store_1phase</f>
        <v>96</v>
      </c>
      <c r="C10" s="25"/>
      <c r="D10" s="25"/>
      <c r="E10" s="25"/>
      <c r="F10" s="25"/>
      <c r="G10" s="25"/>
      <c r="J10" s="14">
        <f t="shared" si="1"/>
        <v>24</v>
      </c>
      <c r="K10" s="27" t="s">
        <v>118</v>
      </c>
      <c r="L10" s="14">
        <v>4</v>
      </c>
      <c r="M10" s="14">
        <f t="shared" si="0"/>
        <v>4</v>
      </c>
    </row>
    <row r="11" spans="1:16" x14ac:dyDescent="0.25">
      <c r="J11" s="14">
        <f t="shared" si="1"/>
        <v>28</v>
      </c>
      <c r="K11" s="27" t="s">
        <v>119</v>
      </c>
      <c r="L11" s="14">
        <v>4</v>
      </c>
      <c r="M11" s="14">
        <f t="shared" si="0"/>
        <v>5</v>
      </c>
      <c r="P11" t="s">
        <v>285</v>
      </c>
    </row>
    <row r="12" spans="1:16" x14ac:dyDescent="0.25">
      <c r="J12" s="14">
        <f t="shared" si="1"/>
        <v>32</v>
      </c>
      <c r="K12" s="27" t="s">
        <v>120</v>
      </c>
      <c r="L12" s="14">
        <v>4</v>
      </c>
      <c r="M12" s="14">
        <f t="shared" si="0"/>
        <v>6</v>
      </c>
    </row>
    <row r="13" spans="1:16" ht="60" x14ac:dyDescent="0.25">
      <c r="C13" s="2" t="s">
        <v>95</v>
      </c>
      <c r="D13" s="15" t="s">
        <v>222</v>
      </c>
      <c r="E13" s="10" t="s">
        <v>3</v>
      </c>
      <c r="F13" s="10" t="s">
        <v>4</v>
      </c>
      <c r="G13" s="10" t="s">
        <v>0</v>
      </c>
      <c r="J13" s="14">
        <f t="shared" si="1"/>
        <v>36</v>
      </c>
      <c r="K13" s="27" t="s">
        <v>279</v>
      </c>
      <c r="L13" s="14">
        <v>4</v>
      </c>
      <c r="M13" s="14">
        <f t="shared" si="0"/>
        <v>7</v>
      </c>
    </row>
    <row r="14" spans="1:16" x14ac:dyDescent="0.25">
      <c r="A14" s="32" t="s">
        <v>229</v>
      </c>
      <c r="C14" s="7">
        <v>0</v>
      </c>
      <c r="D14" s="7">
        <v>0</v>
      </c>
      <c r="E14" s="7" t="str">
        <f t="shared" ref="E14:E27" si="2">DEC2HEX(SUM(HEX2DEC(BILLINGPARAMBASEADDRESS_1PHASE),HEX2DEC(D14)))</f>
        <v>1F44F</v>
      </c>
      <c r="F14" s="3"/>
      <c r="G14" s="3" t="s">
        <v>105</v>
      </c>
      <c r="J14" s="14">
        <f t="shared" si="1"/>
        <v>40</v>
      </c>
      <c r="K14" s="27" t="s">
        <v>92</v>
      </c>
      <c r="L14" s="14">
        <v>4</v>
      </c>
      <c r="M14" s="14">
        <f t="shared" si="0"/>
        <v>8</v>
      </c>
    </row>
    <row r="15" spans="1:16" x14ac:dyDescent="0.25">
      <c r="C15" s="7">
        <v>1</v>
      </c>
      <c r="D15" s="7" t="str">
        <f t="shared" ref="D15:D27" si="3">DEC2HEX(C15*numberofbytes_to_store_1phase)</f>
        <v>60</v>
      </c>
      <c r="E15" s="7" t="str">
        <f t="shared" si="2"/>
        <v>1F4AF</v>
      </c>
      <c r="F15" s="3"/>
      <c r="G15" s="3" t="s">
        <v>106</v>
      </c>
      <c r="J15" s="14">
        <f t="shared" si="1"/>
        <v>44</v>
      </c>
      <c r="K15" s="27" t="s">
        <v>121</v>
      </c>
      <c r="L15" s="14">
        <v>4</v>
      </c>
      <c r="M15" s="14">
        <f t="shared" si="0"/>
        <v>9</v>
      </c>
    </row>
    <row r="16" spans="1:16" x14ac:dyDescent="0.25">
      <c r="C16" s="7">
        <v>2</v>
      </c>
      <c r="D16" s="7" t="str">
        <f t="shared" si="3"/>
        <v>C0</v>
      </c>
      <c r="E16" s="7" t="str">
        <f t="shared" si="2"/>
        <v>1F50F</v>
      </c>
      <c r="F16" s="3"/>
      <c r="G16" s="3" t="s">
        <v>107</v>
      </c>
      <c r="J16" s="14">
        <f t="shared" si="1"/>
        <v>48</v>
      </c>
      <c r="K16" s="27" t="s">
        <v>122</v>
      </c>
      <c r="L16" s="14">
        <v>4</v>
      </c>
      <c r="M16" s="14">
        <f t="shared" si="0"/>
        <v>10</v>
      </c>
    </row>
    <row r="17" spans="1:16" x14ac:dyDescent="0.25">
      <c r="C17" s="7">
        <v>3</v>
      </c>
      <c r="D17" s="7" t="str">
        <f t="shared" si="3"/>
        <v>120</v>
      </c>
      <c r="E17" s="7" t="str">
        <f t="shared" si="2"/>
        <v>1F56F</v>
      </c>
      <c r="F17" s="3"/>
      <c r="G17" s="3" t="s">
        <v>108</v>
      </c>
      <c r="H17" t="s">
        <v>292</v>
      </c>
      <c r="J17" s="14">
        <f t="shared" si="1"/>
        <v>52</v>
      </c>
      <c r="K17" s="27" t="s">
        <v>123</v>
      </c>
      <c r="L17" s="14">
        <v>4</v>
      </c>
      <c r="M17" s="14">
        <f t="shared" si="0"/>
        <v>11</v>
      </c>
      <c r="P17" t="s">
        <v>285</v>
      </c>
    </row>
    <row r="18" spans="1:16" x14ac:dyDescent="0.25">
      <c r="C18" s="7">
        <v>4</v>
      </c>
      <c r="D18" s="7" t="str">
        <f t="shared" si="3"/>
        <v>180</v>
      </c>
      <c r="E18" s="7" t="str">
        <f t="shared" si="2"/>
        <v>1F5CF</v>
      </c>
      <c r="F18" s="3"/>
      <c r="G18" s="3" t="s">
        <v>109</v>
      </c>
      <c r="J18" s="14">
        <f t="shared" si="1"/>
        <v>56</v>
      </c>
      <c r="K18" s="27" t="s">
        <v>124</v>
      </c>
      <c r="L18" s="14">
        <v>4</v>
      </c>
      <c r="M18" s="14">
        <f t="shared" si="0"/>
        <v>12</v>
      </c>
    </row>
    <row r="19" spans="1:16" x14ac:dyDescent="0.25">
      <c r="C19" s="7">
        <v>5</v>
      </c>
      <c r="D19" s="7" t="str">
        <f t="shared" si="3"/>
        <v>1E0</v>
      </c>
      <c r="E19" s="7" t="str">
        <f t="shared" si="2"/>
        <v>1F62F</v>
      </c>
      <c r="F19" s="3"/>
      <c r="G19" s="3" t="s">
        <v>110</v>
      </c>
      <c r="J19" s="14">
        <f t="shared" si="1"/>
        <v>60</v>
      </c>
      <c r="K19" s="27" t="s">
        <v>280</v>
      </c>
      <c r="L19" s="14">
        <v>4</v>
      </c>
      <c r="M19" s="14">
        <f t="shared" si="0"/>
        <v>13</v>
      </c>
    </row>
    <row r="20" spans="1:16" x14ac:dyDescent="0.25">
      <c r="C20" s="7">
        <v>6</v>
      </c>
      <c r="D20" s="7" t="str">
        <f t="shared" si="3"/>
        <v>240</v>
      </c>
      <c r="E20" s="7" t="str">
        <f t="shared" si="2"/>
        <v>1F68F</v>
      </c>
      <c r="F20" s="3"/>
      <c r="G20" s="3" t="s">
        <v>111</v>
      </c>
      <c r="J20" s="14">
        <f t="shared" si="1"/>
        <v>64</v>
      </c>
      <c r="K20" s="27" t="s">
        <v>93</v>
      </c>
      <c r="L20" s="14">
        <v>2</v>
      </c>
      <c r="M20" s="14">
        <f t="shared" si="0"/>
        <v>14</v>
      </c>
    </row>
    <row r="21" spans="1:16" x14ac:dyDescent="0.25">
      <c r="C21" s="7">
        <v>7</v>
      </c>
      <c r="D21" s="7" t="str">
        <f t="shared" si="3"/>
        <v>2A0</v>
      </c>
      <c r="E21" s="7" t="str">
        <f t="shared" si="2"/>
        <v>1F6EF</v>
      </c>
      <c r="F21" s="3"/>
      <c r="G21" s="3" t="s">
        <v>286</v>
      </c>
      <c r="J21" s="14">
        <f t="shared" si="1"/>
        <v>66</v>
      </c>
      <c r="K21" s="27" t="s">
        <v>125</v>
      </c>
      <c r="L21" s="14">
        <v>12</v>
      </c>
      <c r="M21" s="14">
        <f t="shared" si="0"/>
        <v>15</v>
      </c>
    </row>
    <row r="22" spans="1:16" x14ac:dyDescent="0.25">
      <c r="C22" s="7">
        <v>8</v>
      </c>
      <c r="D22" s="7" t="str">
        <f t="shared" si="3"/>
        <v>300</v>
      </c>
      <c r="E22" s="7" t="str">
        <f t="shared" si="2"/>
        <v>1F74F</v>
      </c>
      <c r="F22" s="3"/>
      <c r="G22" s="3" t="s">
        <v>287</v>
      </c>
      <c r="J22" s="14">
        <f t="shared" si="1"/>
        <v>78</v>
      </c>
      <c r="K22" s="27" t="s">
        <v>94</v>
      </c>
      <c r="L22" s="14">
        <v>2</v>
      </c>
      <c r="M22" s="14">
        <f t="shared" si="0"/>
        <v>16</v>
      </c>
    </row>
    <row r="23" spans="1:16" x14ac:dyDescent="0.25">
      <c r="C23" s="7">
        <v>9</v>
      </c>
      <c r="D23" s="7" t="str">
        <f t="shared" si="3"/>
        <v>360</v>
      </c>
      <c r="E23" s="7" t="str">
        <f t="shared" si="2"/>
        <v>1F7AF</v>
      </c>
      <c r="F23" s="3"/>
      <c r="G23" s="3" t="s">
        <v>288</v>
      </c>
      <c r="J23" s="14">
        <f t="shared" si="1"/>
        <v>80</v>
      </c>
      <c r="K23" s="27" t="s">
        <v>126</v>
      </c>
      <c r="L23" s="14">
        <v>12</v>
      </c>
      <c r="M23" s="14">
        <f t="shared" si="0"/>
        <v>17</v>
      </c>
    </row>
    <row r="24" spans="1:16" ht="30" x14ac:dyDescent="0.25">
      <c r="C24" s="7">
        <v>10</v>
      </c>
      <c r="D24" s="7" t="str">
        <f t="shared" si="3"/>
        <v>3C0</v>
      </c>
      <c r="E24" s="7" t="str">
        <f t="shared" si="2"/>
        <v>1F80F</v>
      </c>
      <c r="F24" s="3"/>
      <c r="G24" s="3" t="s">
        <v>289</v>
      </c>
      <c r="J24" s="14">
        <f t="shared" si="1"/>
        <v>92</v>
      </c>
      <c r="K24" s="27" t="s">
        <v>269</v>
      </c>
      <c r="L24" s="14">
        <v>4</v>
      </c>
      <c r="M24" s="14">
        <f t="shared" si="0"/>
        <v>18</v>
      </c>
    </row>
    <row r="25" spans="1:16" x14ac:dyDescent="0.25">
      <c r="C25" s="7">
        <v>11</v>
      </c>
      <c r="D25" s="7" t="str">
        <f t="shared" si="3"/>
        <v>420</v>
      </c>
      <c r="E25" s="7" t="str">
        <f t="shared" si="2"/>
        <v>1F86F</v>
      </c>
      <c r="F25" s="3"/>
      <c r="G25" s="3" t="s">
        <v>290</v>
      </c>
      <c r="J25" s="14">
        <f t="shared" si="1"/>
        <v>96</v>
      </c>
      <c r="K25" s="27" t="s">
        <v>127</v>
      </c>
      <c r="L25" s="14">
        <f>SUM(L6:L24)</f>
        <v>96</v>
      </c>
      <c r="M25" s="54"/>
    </row>
    <row r="26" spans="1:16" x14ac:dyDescent="0.25">
      <c r="C26" s="7">
        <v>12</v>
      </c>
      <c r="D26" s="7" t="str">
        <f t="shared" si="3"/>
        <v>480</v>
      </c>
      <c r="E26" s="7" t="str">
        <f t="shared" si="2"/>
        <v>1F8CF</v>
      </c>
      <c r="F26" s="3"/>
      <c r="G26" s="3" t="s">
        <v>291</v>
      </c>
    </row>
    <row r="27" spans="1:16" x14ac:dyDescent="0.25">
      <c r="A27" s="32" t="s">
        <v>293</v>
      </c>
      <c r="C27" s="7">
        <v>13</v>
      </c>
      <c r="D27" s="7" t="str">
        <f t="shared" si="3"/>
        <v>4E0</v>
      </c>
      <c r="E27" s="7" t="str">
        <f t="shared" si="2"/>
        <v>1F92F</v>
      </c>
      <c r="F27" s="3"/>
      <c r="G27" s="3" t="s">
        <v>112</v>
      </c>
    </row>
    <row r="38" spans="3:7" x14ac:dyDescent="0.25">
      <c r="C38" t="s">
        <v>115</v>
      </c>
      <c r="D38" t="s">
        <v>2</v>
      </c>
      <c r="E38" t="s">
        <v>116</v>
      </c>
    </row>
    <row r="39" spans="3:7" x14ac:dyDescent="0.25">
      <c r="C39" s="12">
        <v>1</v>
      </c>
      <c r="D39" s="12" t="str">
        <f>DEC2HEX(SUM(HEX2DEC(D27),0))</f>
        <v>4E0</v>
      </c>
      <c r="E39" s="7" t="str">
        <f t="shared" ref="E39:E46" si="4">DEC2HEX(SUM(HEX2DEC(BILLINGPARAMBASEADDRESS_1PHASE),HEX2DEC(D39)))</f>
        <v>1F92F</v>
      </c>
      <c r="G39" t="s">
        <v>114</v>
      </c>
    </row>
    <row r="40" spans="3:7" x14ac:dyDescent="0.25">
      <c r="C40" s="12">
        <v>4</v>
      </c>
      <c r="D40" s="12" t="str">
        <f t="shared" ref="D40:D46" si="5">DEC2HEX(SUM(HEX2DEC(D39),C39))</f>
        <v>4E1</v>
      </c>
      <c r="E40" s="7" t="str">
        <f t="shared" si="4"/>
        <v>1F930</v>
      </c>
      <c r="G40" t="s">
        <v>134</v>
      </c>
    </row>
    <row r="41" spans="3:7" x14ac:dyDescent="0.25">
      <c r="C41" s="12">
        <v>1</v>
      </c>
      <c r="D41" s="12" t="str">
        <f t="shared" si="5"/>
        <v>4E5</v>
      </c>
      <c r="E41" s="7" t="str">
        <f t="shared" si="4"/>
        <v>1F934</v>
      </c>
      <c r="G41" t="s">
        <v>153</v>
      </c>
    </row>
    <row r="42" spans="3:7" x14ac:dyDescent="0.25">
      <c r="C42" s="12">
        <v>4</v>
      </c>
      <c r="D42" s="12" t="str">
        <f t="shared" si="5"/>
        <v>4E6</v>
      </c>
      <c r="E42" s="7" t="str">
        <f t="shared" si="4"/>
        <v>1F935</v>
      </c>
      <c r="G42" t="s">
        <v>151</v>
      </c>
    </row>
    <row r="43" spans="3:7" x14ac:dyDescent="0.25">
      <c r="C43" s="12">
        <v>4</v>
      </c>
      <c r="D43" s="12" t="str">
        <f t="shared" si="5"/>
        <v>4EA</v>
      </c>
      <c r="E43" s="7" t="str">
        <f t="shared" si="4"/>
        <v>1F939</v>
      </c>
      <c r="G43" t="s">
        <v>152</v>
      </c>
    </row>
    <row r="44" spans="3:7" x14ac:dyDescent="0.25">
      <c r="C44" s="12">
        <v>4</v>
      </c>
      <c r="D44" s="12" t="str">
        <f t="shared" si="5"/>
        <v>4EE</v>
      </c>
      <c r="E44" s="7" t="str">
        <f t="shared" si="4"/>
        <v>1F93D</v>
      </c>
      <c r="G44" t="s">
        <v>154</v>
      </c>
    </row>
    <row r="45" spans="3:7" x14ac:dyDescent="0.25">
      <c r="C45" s="12">
        <v>4</v>
      </c>
      <c r="D45" s="12" t="str">
        <f t="shared" si="5"/>
        <v>4F2</v>
      </c>
      <c r="E45" s="7" t="str">
        <f t="shared" si="4"/>
        <v>1F941</v>
      </c>
      <c r="G45" t="s">
        <v>157</v>
      </c>
    </row>
    <row r="46" spans="3:7" x14ac:dyDescent="0.25">
      <c r="C46" s="12">
        <v>4</v>
      </c>
      <c r="D46" s="12" t="str">
        <f t="shared" si="5"/>
        <v>4F6</v>
      </c>
      <c r="E46" s="7" t="str">
        <f t="shared" si="4"/>
        <v>1F945</v>
      </c>
      <c r="G46" t="s">
        <v>184</v>
      </c>
    </row>
    <row r="47" spans="3:7" x14ac:dyDescent="0.25">
      <c r="C47" s="12">
        <v>4</v>
      </c>
      <c r="D47" s="12" t="str">
        <f t="shared" ref="D47" si="6">DEC2HEX(SUM(HEX2DEC(D46),C46))</f>
        <v>4FA</v>
      </c>
      <c r="E47" s="7" t="str">
        <f t="shared" ref="E47" si="7">DEC2HEX(SUM(HEX2DEC(BILLINGPARAMBASEADDRESS_1PHASE),HEX2DEC(D47)))</f>
        <v>1F949</v>
      </c>
    </row>
  </sheetData>
  <mergeCells count="2">
    <mergeCell ref="A1:N1"/>
    <mergeCell ref="A2:L2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Q27"/>
  <sheetViews>
    <sheetView workbookViewId="0">
      <pane ySplit="3" topLeftCell="A4" activePane="bottomLeft" state="frozen"/>
      <selection activeCell="C1" sqref="C1"/>
      <selection pane="bottomLeft" activeCell="Q2" sqref="Q2"/>
    </sheetView>
  </sheetViews>
  <sheetFormatPr defaultRowHeight="15" x14ac:dyDescent="0.25"/>
  <cols>
    <col min="2" max="2" width="27.28515625" bestFit="1" customWidth="1"/>
    <col min="3" max="3" width="25.28515625" customWidth="1"/>
    <col min="4" max="4" width="11.140625" customWidth="1"/>
    <col min="10" max="10" width="19.85546875" customWidth="1"/>
  </cols>
  <sheetData>
    <row r="2" spans="3:17" ht="66.75" customHeight="1" x14ac:dyDescent="0.25">
      <c r="E2" s="74" t="s">
        <v>173</v>
      </c>
      <c r="F2" s="75"/>
      <c r="G2" s="75"/>
      <c r="H2" s="75"/>
      <c r="I2" s="75"/>
      <c r="J2" s="75"/>
      <c r="M2" s="1" t="s">
        <v>55</v>
      </c>
      <c r="P2" s="1" t="s">
        <v>174</v>
      </c>
      <c r="Q2" s="7" t="str">
        <f>billing_param!E47</f>
        <v>1F949</v>
      </c>
    </row>
    <row r="3" spans="3:17" ht="60" x14ac:dyDescent="0.25">
      <c r="D3" s="2"/>
      <c r="E3" s="2" t="s">
        <v>115</v>
      </c>
      <c r="F3" s="9" t="s">
        <v>2</v>
      </c>
      <c r="G3" s="10" t="s">
        <v>3</v>
      </c>
      <c r="H3" s="10" t="s">
        <v>4</v>
      </c>
    </row>
    <row r="4" spans="3:17" x14ac:dyDescent="0.25">
      <c r="C4" t="s">
        <v>240</v>
      </c>
      <c r="D4" t="s">
        <v>96</v>
      </c>
      <c r="E4">
        <v>1</v>
      </c>
      <c r="G4" t="str">
        <f>BILLING_SCHEDULE_ADDRESS_1PHASE</f>
        <v>1F949</v>
      </c>
    </row>
    <row r="5" spans="3:17" x14ac:dyDescent="0.25">
      <c r="D5" t="s">
        <v>97</v>
      </c>
      <c r="E5">
        <v>1</v>
      </c>
      <c r="G5" t="str">
        <f>DEC2HEX(SUM(HEX2DEC(G4),E4))</f>
        <v>1F94A</v>
      </c>
    </row>
    <row r="6" spans="3:17" x14ac:dyDescent="0.25">
      <c r="D6" t="s">
        <v>99</v>
      </c>
      <c r="E6">
        <v>1</v>
      </c>
      <c r="G6" t="str">
        <f t="shared" ref="G6:G27" si="0">DEC2HEX(SUM(HEX2DEC(G5),E5))</f>
        <v>1F94B</v>
      </c>
    </row>
    <row r="7" spans="3:17" x14ac:dyDescent="0.25">
      <c r="D7" t="s">
        <v>98</v>
      </c>
      <c r="E7">
        <v>1</v>
      </c>
      <c r="G7" t="str">
        <f t="shared" si="0"/>
        <v>1F94C</v>
      </c>
    </row>
    <row r="8" spans="3:17" x14ac:dyDescent="0.25">
      <c r="D8" t="s">
        <v>100</v>
      </c>
      <c r="E8">
        <v>1</v>
      </c>
      <c r="G8" t="str">
        <f t="shared" si="0"/>
        <v>1F94D</v>
      </c>
    </row>
    <row r="9" spans="3:17" x14ac:dyDescent="0.25">
      <c r="D9" t="s">
        <v>101</v>
      </c>
      <c r="E9">
        <v>1</v>
      </c>
      <c r="G9" t="str">
        <f t="shared" si="0"/>
        <v>1F94E</v>
      </c>
    </row>
    <row r="10" spans="3:17" x14ac:dyDescent="0.25">
      <c r="D10" t="s">
        <v>102</v>
      </c>
      <c r="E10">
        <v>1</v>
      </c>
      <c r="G10" t="str">
        <f t="shared" si="0"/>
        <v>1F94F</v>
      </c>
    </row>
    <row r="11" spans="3:17" x14ac:dyDescent="0.25">
      <c r="D11" t="s">
        <v>103</v>
      </c>
      <c r="E11">
        <v>1</v>
      </c>
      <c r="G11" t="str">
        <f t="shared" si="0"/>
        <v>1F950</v>
      </c>
    </row>
    <row r="12" spans="3:17" x14ac:dyDescent="0.25">
      <c r="D12" t="s">
        <v>104</v>
      </c>
      <c r="E12">
        <v>1</v>
      </c>
      <c r="G12" t="str">
        <f t="shared" si="0"/>
        <v>1F951</v>
      </c>
    </row>
    <row r="13" spans="3:17" x14ac:dyDescent="0.25">
      <c r="D13" t="s">
        <v>262</v>
      </c>
      <c r="E13">
        <v>1</v>
      </c>
      <c r="G13" t="str">
        <f t="shared" si="0"/>
        <v>1F952</v>
      </c>
    </row>
    <row r="14" spans="3:17" x14ac:dyDescent="0.25">
      <c r="D14" t="s">
        <v>263</v>
      </c>
      <c r="E14">
        <v>1</v>
      </c>
      <c r="G14" t="str">
        <f t="shared" si="0"/>
        <v>1F953</v>
      </c>
    </row>
    <row r="15" spans="3:17" x14ac:dyDescent="0.25">
      <c r="D15" t="s">
        <v>264</v>
      </c>
      <c r="E15">
        <v>1</v>
      </c>
      <c r="G15" t="str">
        <f t="shared" si="0"/>
        <v>1F954</v>
      </c>
    </row>
    <row r="16" spans="3:17" x14ac:dyDescent="0.25">
      <c r="C16" t="s">
        <v>241</v>
      </c>
      <c r="D16" t="s">
        <v>267</v>
      </c>
      <c r="E16">
        <v>12</v>
      </c>
      <c r="G16" t="str">
        <f t="shared" si="0"/>
        <v>1F955</v>
      </c>
    </row>
    <row r="17" spans="3:7" x14ac:dyDescent="0.25">
      <c r="C17" t="s">
        <v>242</v>
      </c>
      <c r="D17" t="s">
        <v>267</v>
      </c>
      <c r="E17">
        <v>12</v>
      </c>
      <c r="G17" t="str">
        <f t="shared" si="0"/>
        <v>1F961</v>
      </c>
    </row>
    <row r="18" spans="3:7" x14ac:dyDescent="0.25">
      <c r="C18" t="s">
        <v>243</v>
      </c>
      <c r="D18" t="s">
        <v>267</v>
      </c>
      <c r="E18">
        <v>12</v>
      </c>
      <c r="G18" t="str">
        <f t="shared" si="0"/>
        <v>1F96D</v>
      </c>
    </row>
    <row r="19" spans="3:7" x14ac:dyDescent="0.25">
      <c r="C19" t="s">
        <v>244</v>
      </c>
      <c r="D19" t="s">
        <v>267</v>
      </c>
      <c r="E19">
        <v>12</v>
      </c>
      <c r="G19" t="str">
        <f t="shared" si="0"/>
        <v>1F979</v>
      </c>
    </row>
    <row r="20" spans="3:7" x14ac:dyDescent="0.25">
      <c r="C20" t="s">
        <v>245</v>
      </c>
      <c r="D20" t="s">
        <v>267</v>
      </c>
      <c r="E20">
        <v>12</v>
      </c>
      <c r="G20" t="str">
        <f t="shared" si="0"/>
        <v>1F985</v>
      </c>
    </row>
    <row r="21" spans="3:7" x14ac:dyDescent="0.25">
      <c r="C21" t="s">
        <v>246</v>
      </c>
      <c r="D21" t="s">
        <v>267</v>
      </c>
      <c r="E21">
        <v>12</v>
      </c>
      <c r="G21" t="str">
        <f t="shared" si="0"/>
        <v>1F991</v>
      </c>
    </row>
    <row r="22" spans="3:7" x14ac:dyDescent="0.25">
      <c r="C22" t="s">
        <v>247</v>
      </c>
      <c r="D22" t="s">
        <v>267</v>
      </c>
      <c r="E22">
        <v>12</v>
      </c>
      <c r="G22" t="str">
        <f t="shared" si="0"/>
        <v>1F99D</v>
      </c>
    </row>
    <row r="23" spans="3:7" x14ac:dyDescent="0.25">
      <c r="C23" t="s">
        <v>248</v>
      </c>
      <c r="D23" t="s">
        <v>267</v>
      </c>
      <c r="E23">
        <v>12</v>
      </c>
      <c r="G23" t="str">
        <f t="shared" si="0"/>
        <v>1F9A9</v>
      </c>
    </row>
    <row r="24" spans="3:7" x14ac:dyDescent="0.25">
      <c r="C24" t="s">
        <v>249</v>
      </c>
      <c r="D24" t="s">
        <v>267</v>
      </c>
      <c r="E24">
        <v>12</v>
      </c>
      <c r="G24" t="str">
        <f t="shared" si="0"/>
        <v>1F9B5</v>
      </c>
    </row>
    <row r="25" spans="3:7" x14ac:dyDescent="0.25">
      <c r="C25" t="s">
        <v>265</v>
      </c>
      <c r="D25" t="s">
        <v>267</v>
      </c>
      <c r="E25">
        <v>12</v>
      </c>
      <c r="G25" t="str">
        <f t="shared" si="0"/>
        <v>1F9C1</v>
      </c>
    </row>
    <row r="26" spans="3:7" x14ac:dyDescent="0.25">
      <c r="C26" t="s">
        <v>266</v>
      </c>
      <c r="D26" t="s">
        <v>267</v>
      </c>
      <c r="E26">
        <v>12</v>
      </c>
      <c r="G26" t="str">
        <f t="shared" si="0"/>
        <v>1F9CD</v>
      </c>
    </row>
    <row r="27" spans="3:7" x14ac:dyDescent="0.25">
      <c r="C27" t="s">
        <v>213</v>
      </c>
      <c r="E27">
        <v>1</v>
      </c>
      <c r="G27" t="str">
        <f t="shared" si="0"/>
        <v>1F9D9</v>
      </c>
    </row>
  </sheetData>
  <mergeCells count="1">
    <mergeCell ref="E2:J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G20"/>
  <sheetViews>
    <sheetView topLeftCell="A4" zoomScaleNormal="100" workbookViewId="0">
      <selection activeCell="G17" sqref="G17"/>
    </sheetView>
  </sheetViews>
  <sheetFormatPr defaultRowHeight="15" x14ac:dyDescent="0.25"/>
  <cols>
    <col min="1" max="1" width="34.140625" customWidth="1"/>
    <col min="2" max="2" width="32" customWidth="1"/>
    <col min="3" max="3" width="19.28515625" customWidth="1"/>
    <col min="4" max="4" width="22.42578125" customWidth="1"/>
    <col min="6" max="6" width="23.85546875" customWidth="1"/>
    <col min="7" max="7" width="30.5703125" customWidth="1"/>
    <col min="8" max="8" width="10.5703125" customWidth="1"/>
    <col min="10" max="10" width="14.42578125" customWidth="1"/>
    <col min="11" max="11" width="18" customWidth="1"/>
    <col min="12" max="12" width="24.28515625" customWidth="1"/>
  </cols>
  <sheetData>
    <row r="3" spans="1:7" ht="45" x14ac:dyDescent="0.25">
      <c r="B3" s="1" t="s">
        <v>175</v>
      </c>
      <c r="E3" s="1" t="s">
        <v>113</v>
      </c>
      <c r="F3" s="7" t="str">
        <f>'Single Action'!G27</f>
        <v>1F9D9</v>
      </c>
    </row>
    <row r="5" spans="1:7" ht="51" customHeight="1" x14ac:dyDescent="0.25">
      <c r="C5" s="74" t="s">
        <v>182</v>
      </c>
      <c r="D5" s="75"/>
      <c r="E5" s="75"/>
      <c r="F5" s="75"/>
    </row>
    <row r="6" spans="1:7" ht="60" x14ac:dyDescent="0.25">
      <c r="B6" s="2"/>
      <c r="C6" s="2" t="s">
        <v>132</v>
      </c>
      <c r="D6" s="9" t="s">
        <v>128</v>
      </c>
      <c r="E6" s="10" t="s">
        <v>3</v>
      </c>
      <c r="F6" s="10" t="s">
        <v>4</v>
      </c>
      <c r="G6" s="3"/>
    </row>
    <row r="7" spans="1:7" x14ac:dyDescent="0.25">
      <c r="A7" s="32" t="s">
        <v>231</v>
      </c>
      <c r="B7" s="3" t="s">
        <v>268</v>
      </c>
      <c r="C7" s="3">
        <v>4</v>
      </c>
      <c r="D7" s="3">
        <v>0</v>
      </c>
      <c r="E7" s="3" t="str">
        <f t="shared" ref="E7:E20" si="0">DEC2HEX(SUM(HEX2DEC(INSTANTANEOUS_BASEADDR_1PHASE),D7))</f>
        <v>1F9D9</v>
      </c>
      <c r="F7" s="3"/>
      <c r="G7" s="3" t="s">
        <v>183</v>
      </c>
    </row>
    <row r="8" spans="1:7" ht="45" customHeight="1" x14ac:dyDescent="0.25">
      <c r="A8" s="32"/>
      <c r="B8" s="23" t="s">
        <v>270</v>
      </c>
      <c r="C8" s="3">
        <v>4</v>
      </c>
      <c r="D8" s="3">
        <f>SUM(D7,C7)</f>
        <v>4</v>
      </c>
      <c r="E8" s="3" t="str">
        <f t="shared" si="0"/>
        <v>1F9DD</v>
      </c>
      <c r="F8" s="3"/>
      <c r="G8" s="3" t="s">
        <v>271</v>
      </c>
    </row>
    <row r="9" spans="1:7" x14ac:dyDescent="0.25">
      <c r="B9" s="3" t="s">
        <v>133</v>
      </c>
      <c r="C9" s="3">
        <v>4</v>
      </c>
      <c r="D9" s="3">
        <f t="shared" ref="D9:D18" si="1">SUM(D8,C8)</f>
        <v>8</v>
      </c>
      <c r="E9" s="3" t="str">
        <f t="shared" si="0"/>
        <v>1F9E1</v>
      </c>
      <c r="F9" s="3"/>
      <c r="G9" s="3"/>
    </row>
    <row r="10" spans="1:7" x14ac:dyDescent="0.25">
      <c r="B10" s="3" t="s">
        <v>134</v>
      </c>
      <c r="C10" s="3">
        <v>4</v>
      </c>
      <c r="D10" s="3">
        <f t="shared" si="1"/>
        <v>12</v>
      </c>
      <c r="E10" s="3" t="str">
        <f t="shared" si="0"/>
        <v>1F9E5</v>
      </c>
      <c r="F10" s="3"/>
      <c r="G10" s="3"/>
    </row>
    <row r="11" spans="1:7" x14ac:dyDescent="0.25">
      <c r="B11" s="3" t="s">
        <v>135</v>
      </c>
      <c r="C11" s="3">
        <v>4</v>
      </c>
      <c r="D11" s="3">
        <f t="shared" si="1"/>
        <v>16</v>
      </c>
      <c r="E11" s="3" t="str">
        <f t="shared" si="0"/>
        <v>1F9E9</v>
      </c>
      <c r="F11" s="3"/>
      <c r="G11" s="3"/>
    </row>
    <row r="12" spans="1:7" x14ac:dyDescent="0.25">
      <c r="B12" s="3" t="s">
        <v>272</v>
      </c>
      <c r="C12" s="3">
        <v>12</v>
      </c>
      <c r="D12" s="3">
        <f t="shared" si="1"/>
        <v>20</v>
      </c>
      <c r="E12" s="3" t="str">
        <f t="shared" si="0"/>
        <v>1F9ED</v>
      </c>
      <c r="F12" s="3"/>
      <c r="G12" s="3"/>
    </row>
    <row r="13" spans="1:7" x14ac:dyDescent="0.25">
      <c r="B13" s="3" t="s">
        <v>136</v>
      </c>
      <c r="C13" s="3">
        <v>4</v>
      </c>
      <c r="D13" s="3">
        <f t="shared" si="1"/>
        <v>32</v>
      </c>
      <c r="E13" s="3" t="str">
        <f t="shared" si="0"/>
        <v>1F9F9</v>
      </c>
      <c r="F13" s="3"/>
      <c r="G13" s="3"/>
    </row>
    <row r="14" spans="1:7" x14ac:dyDescent="0.25">
      <c r="B14" t="s">
        <v>273</v>
      </c>
      <c r="C14" s="3">
        <v>4</v>
      </c>
      <c r="D14" s="3">
        <f t="shared" si="1"/>
        <v>36</v>
      </c>
      <c r="E14" s="3" t="str">
        <f t="shared" si="0"/>
        <v>1F9FD</v>
      </c>
      <c r="F14" s="3"/>
      <c r="G14" s="3"/>
    </row>
    <row r="15" spans="1:7" x14ac:dyDescent="0.25">
      <c r="B15" t="s">
        <v>274</v>
      </c>
      <c r="C15" s="3">
        <v>4</v>
      </c>
      <c r="D15" s="3">
        <f t="shared" si="1"/>
        <v>40</v>
      </c>
      <c r="E15" s="3" t="str">
        <f t="shared" si="0"/>
        <v>1FA01</v>
      </c>
      <c r="F15" s="3"/>
      <c r="G15" s="3"/>
    </row>
    <row r="16" spans="1:7" x14ac:dyDescent="0.25">
      <c r="B16" s="3" t="s">
        <v>137</v>
      </c>
      <c r="C16" s="3">
        <v>4</v>
      </c>
      <c r="D16" s="3">
        <f t="shared" si="1"/>
        <v>44</v>
      </c>
      <c r="E16" s="3" t="str">
        <f t="shared" si="0"/>
        <v>1FA05</v>
      </c>
      <c r="F16" s="3"/>
      <c r="G16" s="3"/>
    </row>
    <row r="17" spans="2:7" ht="45" x14ac:dyDescent="0.25">
      <c r="B17" s="23" t="s">
        <v>145</v>
      </c>
      <c r="C17" s="3">
        <v>6</v>
      </c>
      <c r="D17" s="3">
        <f t="shared" si="1"/>
        <v>48</v>
      </c>
      <c r="E17" s="3" t="str">
        <f t="shared" si="0"/>
        <v>1FA09</v>
      </c>
      <c r="F17" s="3"/>
      <c r="G17" s="3"/>
    </row>
    <row r="18" spans="2:7" x14ac:dyDescent="0.25">
      <c r="B18" s="3" t="s">
        <v>140</v>
      </c>
      <c r="C18" s="3">
        <v>4</v>
      </c>
      <c r="D18" s="3">
        <f t="shared" si="1"/>
        <v>54</v>
      </c>
      <c r="E18" s="3" t="str">
        <f t="shared" si="0"/>
        <v>1FA0F</v>
      </c>
      <c r="F18" s="3"/>
      <c r="G18" s="42" t="s">
        <v>146</v>
      </c>
    </row>
    <row r="19" spans="2:7" x14ac:dyDescent="0.25">
      <c r="B19" s="3" t="s">
        <v>139</v>
      </c>
      <c r="C19" s="3">
        <v>4</v>
      </c>
      <c r="D19" s="3">
        <f t="shared" ref="D19:D20" si="2">SUM(D18,C18)</f>
        <v>58</v>
      </c>
      <c r="E19" s="3" t="str">
        <f t="shared" si="0"/>
        <v>1FA13</v>
      </c>
      <c r="F19" s="3"/>
      <c r="G19" s="3"/>
    </row>
    <row r="20" spans="2:7" x14ac:dyDescent="0.25">
      <c r="B20" s="3"/>
      <c r="C20" s="3"/>
      <c r="D20" s="3">
        <f t="shared" si="2"/>
        <v>62</v>
      </c>
      <c r="E20" s="3" t="str">
        <f t="shared" si="0"/>
        <v>1FA17</v>
      </c>
      <c r="F20" s="3"/>
      <c r="G20" s="3"/>
    </row>
  </sheetData>
  <mergeCells count="1">
    <mergeCell ref="C5:F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P12"/>
  <sheetViews>
    <sheetView workbookViewId="0">
      <selection activeCell="C15" sqref="C15"/>
    </sheetView>
  </sheetViews>
  <sheetFormatPr defaultRowHeight="15" x14ac:dyDescent="0.25"/>
  <cols>
    <col min="1" max="1" width="30.28515625" customWidth="1"/>
    <col min="3" max="3" width="13.42578125" customWidth="1"/>
    <col min="4" max="4" width="25.5703125" customWidth="1"/>
    <col min="5" max="5" width="27" customWidth="1"/>
    <col min="16" max="16" width="11.7109375" customWidth="1"/>
  </cols>
  <sheetData>
    <row r="3" spans="1:16" ht="23.25" x14ac:dyDescent="0.35">
      <c r="A3" s="24" t="s">
        <v>176</v>
      </c>
      <c r="P3" s="7" t="str">
        <f>'Instataneous Param'!E20</f>
        <v>1FA17</v>
      </c>
    </row>
    <row r="9" spans="1:16" ht="30" x14ac:dyDescent="0.25">
      <c r="A9" s="2"/>
      <c r="B9" s="2" t="s">
        <v>132</v>
      </c>
      <c r="C9" s="9" t="s">
        <v>128</v>
      </c>
      <c r="D9" s="10" t="s">
        <v>3</v>
      </c>
      <c r="E9" s="10" t="s">
        <v>4</v>
      </c>
    </row>
    <row r="10" spans="1:16" x14ac:dyDescent="0.25">
      <c r="A10" t="s">
        <v>155</v>
      </c>
      <c r="B10">
        <v>8</v>
      </c>
      <c r="C10">
        <v>0</v>
      </c>
      <c r="D10" t="str">
        <f>PASSWORD_BASE_ADDRESS_1PHASE</f>
        <v>1FA17</v>
      </c>
    </row>
    <row r="11" spans="1:16" x14ac:dyDescent="0.25">
      <c r="A11" s="19" t="s">
        <v>156</v>
      </c>
      <c r="B11">
        <v>16</v>
      </c>
      <c r="C11">
        <f>SUM(C10,B10)</f>
        <v>8</v>
      </c>
      <c r="D11" t="str">
        <f>DEC2HEX(SUM(HEX2DEC(PASSWORD_BASE_ADDRESS_1PHASE),C11))</f>
        <v>1FA1F</v>
      </c>
    </row>
    <row r="12" spans="1:16" x14ac:dyDescent="0.25">
      <c r="C12">
        <f>SUM(C11,B11)</f>
        <v>24</v>
      </c>
      <c r="D12" t="str">
        <f>DEC2HEX(SUM(HEX2DEC(PASSWORD_BASE_ADDRESS_1PHASE),C12))</f>
        <v>1FA2F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S21"/>
  <sheetViews>
    <sheetView workbookViewId="0">
      <selection activeCell="F22" sqref="F22"/>
    </sheetView>
  </sheetViews>
  <sheetFormatPr defaultRowHeight="15" x14ac:dyDescent="0.25"/>
  <cols>
    <col min="2" max="2" width="35.28515625" bestFit="1" customWidth="1"/>
    <col min="3" max="3" width="29.140625" bestFit="1" customWidth="1"/>
    <col min="5" max="5" width="13.42578125" customWidth="1"/>
    <col min="6" max="6" width="13.28515625" customWidth="1"/>
    <col min="8" max="8" width="22.5703125" bestFit="1" customWidth="1"/>
    <col min="21" max="21" width="18.28515625" customWidth="1"/>
  </cols>
  <sheetData>
    <row r="3" spans="2:19" ht="26.25" x14ac:dyDescent="0.25">
      <c r="C3" s="76" t="s">
        <v>188</v>
      </c>
      <c r="D3" s="76"/>
      <c r="E3" s="76"/>
      <c r="F3" s="76"/>
      <c r="G3" s="76"/>
      <c r="R3" t="s">
        <v>185</v>
      </c>
      <c r="S3" s="7" t="str">
        <f>password!D12</f>
        <v>1FA2F</v>
      </c>
    </row>
    <row r="5" spans="2:19" ht="60" x14ac:dyDescent="0.25">
      <c r="C5" s="2"/>
      <c r="D5" s="2" t="s">
        <v>132</v>
      </c>
      <c r="E5" s="9" t="s">
        <v>128</v>
      </c>
      <c r="F5" s="10" t="s">
        <v>3</v>
      </c>
      <c r="G5" s="10" t="s">
        <v>4</v>
      </c>
    </row>
    <row r="7" spans="2:19" x14ac:dyDescent="0.25">
      <c r="B7" s="32" t="s">
        <v>227</v>
      </c>
      <c r="C7" t="s">
        <v>177</v>
      </c>
      <c r="D7">
        <v>4</v>
      </c>
      <c r="E7">
        <v>0</v>
      </c>
      <c r="F7" t="str">
        <f>ADDR_OTHERS</f>
        <v>1FA2F</v>
      </c>
      <c r="H7" t="s">
        <v>275</v>
      </c>
    </row>
    <row r="8" spans="2:19" x14ac:dyDescent="0.25">
      <c r="C8" t="s">
        <v>186</v>
      </c>
      <c r="D8">
        <v>4</v>
      </c>
      <c r="E8">
        <f t="shared" ref="E8:E13" si="0">SUM(E7,D7)</f>
        <v>4</v>
      </c>
      <c r="F8" t="str">
        <f t="shared" ref="F8:F13" si="1">DEC2HEX(SUM(HEX2DEC(F7),D7))</f>
        <v>1FA33</v>
      </c>
    </row>
    <row r="9" spans="2:19" x14ac:dyDescent="0.25">
      <c r="C9" t="s">
        <v>187</v>
      </c>
      <c r="D9">
        <v>4</v>
      </c>
      <c r="E9">
        <f t="shared" si="0"/>
        <v>8</v>
      </c>
      <c r="F9" t="str">
        <f t="shared" si="1"/>
        <v>1FA37</v>
      </c>
    </row>
    <row r="10" spans="2:19" x14ac:dyDescent="0.25">
      <c r="C10" t="s">
        <v>193</v>
      </c>
      <c r="D10">
        <v>4</v>
      </c>
      <c r="E10">
        <f t="shared" si="0"/>
        <v>12</v>
      </c>
      <c r="F10" t="str">
        <f t="shared" si="1"/>
        <v>1FA3B</v>
      </c>
    </row>
    <row r="11" spans="2:19" x14ac:dyDescent="0.25">
      <c r="B11" s="32" t="s">
        <v>189</v>
      </c>
      <c r="C11" t="s">
        <v>138</v>
      </c>
      <c r="D11">
        <v>4</v>
      </c>
      <c r="E11">
        <f t="shared" si="0"/>
        <v>16</v>
      </c>
      <c r="F11" t="str">
        <f t="shared" si="1"/>
        <v>1FA3F</v>
      </c>
    </row>
    <row r="12" spans="2:19" x14ac:dyDescent="0.25">
      <c r="B12" s="32" t="s">
        <v>250</v>
      </c>
      <c r="C12" t="s">
        <v>228</v>
      </c>
      <c r="D12">
        <v>1</v>
      </c>
      <c r="E12">
        <f t="shared" si="0"/>
        <v>20</v>
      </c>
      <c r="F12" t="str">
        <f t="shared" si="1"/>
        <v>1FA43</v>
      </c>
    </row>
    <row r="13" spans="2:19" ht="45" x14ac:dyDescent="0.25">
      <c r="B13" s="32" t="s">
        <v>239</v>
      </c>
      <c r="C13" t="s">
        <v>232</v>
      </c>
      <c r="D13">
        <v>12</v>
      </c>
      <c r="E13">
        <f t="shared" si="0"/>
        <v>21</v>
      </c>
      <c r="F13" t="str">
        <f t="shared" si="1"/>
        <v>1FA44</v>
      </c>
      <c r="H13" s="43" t="s">
        <v>238</v>
      </c>
    </row>
    <row r="14" spans="2:19" x14ac:dyDescent="0.25">
      <c r="C14" t="s">
        <v>233</v>
      </c>
      <c r="D14">
        <v>12</v>
      </c>
      <c r="E14">
        <f t="shared" ref="E14:E19" si="2">SUM(E13,D13)</f>
        <v>33</v>
      </c>
      <c r="F14" t="str">
        <f t="shared" ref="F14:F19" si="3">DEC2HEX(SUM(HEX2DEC(F13),D13))</f>
        <v>1FA50</v>
      </c>
      <c r="H14" s="32"/>
    </row>
    <row r="15" spans="2:19" x14ac:dyDescent="0.25">
      <c r="C15" t="s">
        <v>234</v>
      </c>
      <c r="D15">
        <v>12</v>
      </c>
      <c r="E15">
        <f t="shared" si="2"/>
        <v>45</v>
      </c>
      <c r="F15" t="str">
        <f t="shared" si="3"/>
        <v>1FA5C</v>
      </c>
      <c r="H15" s="32"/>
    </row>
    <row r="16" spans="2:19" x14ac:dyDescent="0.25">
      <c r="C16" t="s">
        <v>235</v>
      </c>
      <c r="D16">
        <v>12</v>
      </c>
      <c r="E16">
        <f t="shared" si="2"/>
        <v>57</v>
      </c>
      <c r="F16" t="str">
        <f t="shared" si="3"/>
        <v>1FA68</v>
      </c>
      <c r="H16" s="32"/>
    </row>
    <row r="17" spans="3:8" x14ac:dyDescent="0.25">
      <c r="C17" t="s">
        <v>236</v>
      </c>
      <c r="D17">
        <v>12</v>
      </c>
      <c r="E17">
        <f t="shared" si="2"/>
        <v>69</v>
      </c>
      <c r="F17" t="str">
        <f t="shared" si="3"/>
        <v>1FA74</v>
      </c>
      <c r="H17" s="32"/>
    </row>
    <row r="18" spans="3:8" x14ac:dyDescent="0.25">
      <c r="C18" t="s">
        <v>237</v>
      </c>
      <c r="D18">
        <v>12</v>
      </c>
      <c r="E18">
        <f t="shared" si="2"/>
        <v>81</v>
      </c>
      <c r="F18" t="str">
        <f t="shared" si="3"/>
        <v>1FA80</v>
      </c>
      <c r="H18" s="32"/>
    </row>
    <row r="19" spans="3:8" x14ac:dyDescent="0.25">
      <c r="E19">
        <f t="shared" si="2"/>
        <v>93</v>
      </c>
      <c r="F19" t="str">
        <f t="shared" si="3"/>
        <v>1FA8C</v>
      </c>
    </row>
    <row r="21" spans="3:8" ht="30" x14ac:dyDescent="0.25">
      <c r="C21" s="19" t="s">
        <v>259</v>
      </c>
      <c r="F21" s="50" t="s">
        <v>342</v>
      </c>
    </row>
  </sheetData>
  <mergeCells count="1">
    <mergeCell ref="C3:G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24"/>
  <sheetViews>
    <sheetView topLeftCell="A5" workbookViewId="0">
      <selection activeCell="L17" sqref="L17"/>
    </sheetView>
  </sheetViews>
  <sheetFormatPr defaultRowHeight="15" x14ac:dyDescent="0.25"/>
  <cols>
    <col min="8" max="8" width="11.140625" customWidth="1"/>
  </cols>
  <sheetData>
    <row r="1" spans="1:62" ht="90" x14ac:dyDescent="0.25">
      <c r="A1" s="68" t="s">
        <v>196</v>
      </c>
      <c r="B1" s="68"/>
      <c r="C1" s="68"/>
      <c r="D1" s="68"/>
      <c r="E1" s="68"/>
      <c r="F1" s="68"/>
      <c r="G1" s="68"/>
      <c r="I1" s="19" t="s">
        <v>181</v>
      </c>
      <c r="J1" s="12">
        <v>35</v>
      </c>
      <c r="K1" s="19" t="s">
        <v>181</v>
      </c>
      <c r="L1" s="12">
        <v>60</v>
      </c>
      <c r="M1" t="s">
        <v>179</v>
      </c>
      <c r="O1" s="1"/>
      <c r="P1">
        <v>20</v>
      </c>
      <c r="R1" s="1" t="s">
        <v>178</v>
      </c>
      <c r="S1" t="str">
        <f>misc!F21</f>
        <v>1FB00</v>
      </c>
    </row>
    <row r="2" spans="1:62" ht="60" x14ac:dyDescent="0.25">
      <c r="B2" s="2" t="s">
        <v>51</v>
      </c>
      <c r="C2" s="2" t="s">
        <v>52</v>
      </c>
      <c r="D2" s="2" t="s">
        <v>53</v>
      </c>
      <c r="E2" s="9" t="s">
        <v>54</v>
      </c>
      <c r="F2" s="15" t="s">
        <v>180</v>
      </c>
      <c r="G2" s="10" t="s">
        <v>3</v>
      </c>
      <c r="H2" s="10" t="s">
        <v>4</v>
      </c>
      <c r="I2" s="2" t="s">
        <v>51</v>
      </c>
      <c r="J2" s="2" t="s">
        <v>52</v>
      </c>
      <c r="K2" s="2" t="s">
        <v>53</v>
      </c>
      <c r="L2" s="9" t="s">
        <v>54</v>
      </c>
      <c r="M2" s="15" t="s">
        <v>180</v>
      </c>
      <c r="N2" s="10" t="s">
        <v>3</v>
      </c>
      <c r="O2" s="10" t="s">
        <v>4</v>
      </c>
      <c r="P2" s="2" t="s">
        <v>51</v>
      </c>
      <c r="Q2" s="2" t="s">
        <v>52</v>
      </c>
      <c r="R2" s="2" t="s">
        <v>53</v>
      </c>
      <c r="S2" s="9" t="s">
        <v>54</v>
      </c>
      <c r="T2" s="15" t="s">
        <v>180</v>
      </c>
      <c r="U2" s="10" t="s">
        <v>3</v>
      </c>
      <c r="V2" s="10" t="s">
        <v>4</v>
      </c>
      <c r="X2" s="2" t="s">
        <v>51</v>
      </c>
      <c r="Y2" s="2" t="s">
        <v>52</v>
      </c>
      <c r="Z2" s="2" t="s">
        <v>53</v>
      </c>
      <c r="AA2" s="9" t="s">
        <v>54</v>
      </c>
      <c r="AB2" s="15" t="s">
        <v>180</v>
      </c>
      <c r="AC2" s="10" t="s">
        <v>3</v>
      </c>
      <c r="AD2" s="10" t="s">
        <v>4</v>
      </c>
      <c r="AF2" s="2" t="s">
        <v>51</v>
      </c>
      <c r="AG2" s="2" t="s">
        <v>52</v>
      </c>
      <c r="AH2" s="2" t="s">
        <v>53</v>
      </c>
      <c r="AI2" s="9" t="s">
        <v>54</v>
      </c>
      <c r="AJ2" s="15" t="s">
        <v>180</v>
      </c>
      <c r="AK2" s="10" t="s">
        <v>3</v>
      </c>
      <c r="AL2" s="10" t="s">
        <v>4</v>
      </c>
      <c r="AM2" s="43"/>
      <c r="AN2" s="2" t="s">
        <v>51</v>
      </c>
      <c r="AO2" s="2" t="s">
        <v>52</v>
      </c>
      <c r="AP2" s="2" t="s">
        <v>53</v>
      </c>
      <c r="AQ2" s="9" t="s">
        <v>54</v>
      </c>
      <c r="AR2" s="15" t="s">
        <v>180</v>
      </c>
      <c r="AS2" s="10" t="s">
        <v>3</v>
      </c>
      <c r="AT2" s="10" t="s">
        <v>4</v>
      </c>
      <c r="AV2" s="2" t="s">
        <v>51</v>
      </c>
      <c r="AW2" s="2" t="s">
        <v>52</v>
      </c>
      <c r="AX2" s="2" t="s">
        <v>53</v>
      </c>
      <c r="AY2" s="9" t="s">
        <v>54</v>
      </c>
      <c r="AZ2" s="15" t="s">
        <v>180</v>
      </c>
      <c r="BA2" s="10" t="s">
        <v>3</v>
      </c>
      <c r="BB2" s="10" t="s">
        <v>4</v>
      </c>
      <c r="BD2" s="2" t="s">
        <v>51</v>
      </c>
      <c r="BE2" s="2" t="s">
        <v>52</v>
      </c>
      <c r="BF2" s="2" t="s">
        <v>53</v>
      </c>
      <c r="BG2" s="9" t="s">
        <v>54</v>
      </c>
      <c r="BH2" s="15" t="s">
        <v>180</v>
      </c>
      <c r="BI2" s="10" t="s">
        <v>3</v>
      </c>
      <c r="BJ2" s="10" t="s">
        <v>4</v>
      </c>
    </row>
    <row r="3" spans="1:62" x14ac:dyDescent="0.25">
      <c r="B3" s="7">
        <v>0</v>
      </c>
      <c r="C3" s="7">
        <v>0</v>
      </c>
      <c r="D3" s="7">
        <v>0</v>
      </c>
      <c r="E3" s="7">
        <f>IF(D3=0,(2*C3),(2*C3+1))</f>
        <v>0</v>
      </c>
      <c r="F3" s="7" t="str">
        <f>DEC2HEX(SUM((B3*slots_per_day_1phase)+E3)*numberofbytes_tostore_1phase)</f>
        <v>0</v>
      </c>
      <c r="G3" s="7" t="str">
        <f>DAILYLOADSURVEYBASEADDRESS_1phase</f>
        <v>1FB00</v>
      </c>
      <c r="H3" s="3"/>
      <c r="I3" s="7">
        <v>1</v>
      </c>
      <c r="J3" s="7">
        <v>0</v>
      </c>
      <c r="K3" s="7">
        <v>0</v>
      </c>
      <c r="L3" s="7">
        <f>IF(K3=0,(2*J3),(2*J3+1))</f>
        <v>0</v>
      </c>
      <c r="M3" s="7">
        <v>0</v>
      </c>
      <c r="N3" s="7" t="str">
        <f>DEC2HEX(SUM(HEX2DEC(DAILYLOADSURVEYBASEADDRESS_1phase),(DLS_numbytestostore_1phase*I3)))</f>
        <v>1FB14</v>
      </c>
      <c r="O3" s="3"/>
      <c r="P3" s="7">
        <f>SUM(I3+1)</f>
        <v>2</v>
      </c>
      <c r="Q3" s="7">
        <v>0</v>
      </c>
      <c r="R3" s="7">
        <v>0</v>
      </c>
      <c r="S3" s="7">
        <f>IF(R3=0,(2*Q3),(2*Q3+1))</f>
        <v>0</v>
      </c>
      <c r="T3" s="7">
        <v>0</v>
      </c>
      <c r="U3" s="7" t="str">
        <f>DEC2HEX(SUM(HEX2DEC(DAILYLOADSURVEYBASEADDRESS_1phase),(DLS_numbytestostore_1phase*P3)))</f>
        <v>1FB28</v>
      </c>
      <c r="V3" s="3"/>
      <c r="X3" s="7">
        <v>7</v>
      </c>
      <c r="Y3" s="7">
        <v>0</v>
      </c>
      <c r="Z3" s="7">
        <v>0</v>
      </c>
      <c r="AA3" s="7">
        <f>IF(Z3=0,(2*Y3),(2*Y3+1))</f>
        <v>0</v>
      </c>
      <c r="AB3" s="7">
        <v>0</v>
      </c>
      <c r="AC3" s="7" t="str">
        <f>DEC2HEX(SUM(HEX2DEC(DAILYLOADSURVEYBASEADDRESS_1phase),(DLS_numbytestostore_1phase*X3)))</f>
        <v>1FB8C</v>
      </c>
      <c r="AD3" s="3"/>
      <c r="AF3" s="7">
        <v>21</v>
      </c>
      <c r="AG3" s="7">
        <v>0</v>
      </c>
      <c r="AH3" s="7">
        <v>0</v>
      </c>
      <c r="AI3" s="7">
        <f>IF(AH3=0,(2*AG3),(2*AG3+1))</f>
        <v>0</v>
      </c>
      <c r="AJ3" s="7">
        <v>0</v>
      </c>
      <c r="AK3" s="7" t="str">
        <f>DEC2HEX(SUM(HEX2DEC(DAILYLOADSURVEYBASEADDRESS_1phase),(DLS_numbytestostore_1phase*AF3)))</f>
        <v>1FCA4</v>
      </c>
      <c r="AL3" s="7"/>
      <c r="AN3" s="7">
        <v>21</v>
      </c>
      <c r="AO3" s="7">
        <v>0</v>
      </c>
      <c r="AP3" s="7">
        <v>0</v>
      </c>
      <c r="AQ3" s="7">
        <f>IF(AP3=0,(2*AO3),(2*AO3+1))</f>
        <v>0</v>
      </c>
      <c r="AR3" s="7">
        <v>0</v>
      </c>
      <c r="AS3" s="7" t="str">
        <f>DEC2HEX(SUM(HEX2DEC(DAILYLOADSURVEYBASEADDRESS_1phase),(DLS_numbytestostore_1phase*AN3)))</f>
        <v>1FCA4</v>
      </c>
      <c r="AT3" s="3"/>
      <c r="AV3" s="7">
        <v>35</v>
      </c>
      <c r="AW3" s="7">
        <v>0</v>
      </c>
      <c r="AX3" s="7">
        <v>0</v>
      </c>
      <c r="AY3" s="7">
        <f>IF(AX3=0,(2*AW3),(2*AW3+1))</f>
        <v>0</v>
      </c>
      <c r="AZ3" s="7">
        <v>0</v>
      </c>
      <c r="BA3" s="7" t="str">
        <f>DEC2HEX(SUM(HEX2DEC(DAILYLOADSURVEYBASEADDRESS_1phase),(DLS_numbytestostore_1phase*AV3)))</f>
        <v>1FDBC</v>
      </c>
      <c r="BB3" s="3"/>
      <c r="BD3" s="7">
        <v>60</v>
      </c>
      <c r="BE3" s="7">
        <v>0</v>
      </c>
      <c r="BF3" s="7">
        <v>0</v>
      </c>
      <c r="BG3" s="7">
        <f>IF(BF3=0,(2*BE3),(2*BE3+1))</f>
        <v>0</v>
      </c>
      <c r="BH3" s="7">
        <v>0</v>
      </c>
      <c r="BI3" s="7" t="str">
        <f>DEC2HEX(SUM(HEX2DEC(DAILYLOADSURVEYBASEADDRESS_1phase),(DLS_numbytestostore_1phase*BD3)))</f>
        <v>1FFB0</v>
      </c>
      <c r="BJ3" s="3"/>
    </row>
    <row r="5" spans="1:62" ht="15.75" x14ac:dyDescent="0.25">
      <c r="B5" s="65" t="s">
        <v>57</v>
      </c>
      <c r="C5" s="66"/>
      <c r="D5" s="66"/>
      <c r="E5" s="66"/>
      <c r="F5" s="66"/>
      <c r="G5" s="66"/>
      <c r="H5" s="66"/>
      <c r="I5" s="66"/>
    </row>
    <row r="6" spans="1:62" x14ac:dyDescent="0.25">
      <c r="B6" s="3"/>
      <c r="C6" s="3"/>
      <c r="D6" s="3"/>
      <c r="E6" s="3"/>
      <c r="F6" s="3"/>
      <c r="G6" s="3"/>
      <c r="H6" s="20"/>
      <c r="I6" s="21"/>
    </row>
    <row r="7" spans="1:62" ht="45" x14ac:dyDescent="0.25">
      <c r="B7" s="2" t="s">
        <v>58</v>
      </c>
      <c r="C7" s="2"/>
      <c r="D7" s="2" t="s">
        <v>115</v>
      </c>
      <c r="E7" s="2"/>
      <c r="F7" s="60" t="s">
        <v>346</v>
      </c>
      <c r="G7" s="60" t="s">
        <v>345</v>
      </c>
      <c r="H7" s="22"/>
    </row>
    <row r="8" spans="1:62" x14ac:dyDescent="0.25">
      <c r="B8" s="3" t="s">
        <v>190</v>
      </c>
      <c r="C8" s="3"/>
      <c r="D8" s="3">
        <v>2</v>
      </c>
      <c r="E8" s="3"/>
      <c r="F8" s="3" t="str">
        <f>DEC2HEX(SUM(HEX2DEC(DAILYLOADSURVEYBASEADDRESS_1phase),DLS_MAXDAYS_60*DLS_numbytestostore_1phase))</f>
        <v>1FFB0</v>
      </c>
      <c r="G8" s="3" t="str">
        <f>DEC2HEX(SUM(HEX2DEC(DAILYLOADSURVEYBASEADDRESS_1phase),DLS_MAXDAYS*DLS_numbytestostore_1phase))</f>
        <v>1FDBC</v>
      </c>
      <c r="H8" s="44" t="s">
        <v>225</v>
      </c>
    </row>
    <row r="9" spans="1:62" x14ac:dyDescent="0.25">
      <c r="B9" s="3" t="s">
        <v>191</v>
      </c>
      <c r="C9" s="3"/>
      <c r="D9" s="3">
        <v>4</v>
      </c>
      <c r="E9" s="3"/>
      <c r="F9" s="3" t="str">
        <f>DEC2HEX(SUM(HEX2DEC(F8))+D8)</f>
        <v>1FFB2</v>
      </c>
      <c r="G9" s="3" t="str">
        <f t="shared" ref="G9:G22" si="0">DEC2HEX(SUM(HEX2DEC(G8))+D8)</f>
        <v>1FDBE</v>
      </c>
      <c r="H9" s="22"/>
      <c r="P9" s="67" t="s">
        <v>142</v>
      </c>
      <c r="Q9" s="67"/>
      <c r="R9" s="67"/>
      <c r="S9" s="67"/>
    </row>
    <row r="10" spans="1:62" ht="60" x14ac:dyDescent="0.25">
      <c r="B10" s="3" t="s">
        <v>192</v>
      </c>
      <c r="C10" s="3"/>
      <c r="D10" s="3">
        <v>4</v>
      </c>
      <c r="E10" s="3"/>
      <c r="F10" s="3" t="str">
        <f t="shared" ref="F10:F22" si="1">DEC2HEX(SUM(HEX2DEC(F9))+D9)</f>
        <v>1FFB6</v>
      </c>
      <c r="G10" s="3" t="str">
        <f t="shared" si="0"/>
        <v>1FDC2</v>
      </c>
      <c r="H10" s="22"/>
      <c r="P10" s="3" t="s">
        <v>141</v>
      </c>
      <c r="Q10" s="3" t="s">
        <v>115</v>
      </c>
      <c r="R10" s="4" t="s">
        <v>144</v>
      </c>
      <c r="S10" s="3"/>
    </row>
    <row r="11" spans="1:62" x14ac:dyDescent="0.25">
      <c r="B11" s="3" t="s">
        <v>59</v>
      </c>
      <c r="C11" s="3"/>
      <c r="D11" s="3">
        <v>1</v>
      </c>
      <c r="E11" s="3"/>
      <c r="F11" s="3" t="str">
        <f t="shared" si="1"/>
        <v>1FFBA</v>
      </c>
      <c r="G11" s="3" t="str">
        <f t="shared" si="0"/>
        <v>1FDC6</v>
      </c>
      <c r="H11" s="22"/>
      <c r="P11" s="3" t="s">
        <v>59</v>
      </c>
      <c r="Q11" s="3">
        <v>1</v>
      </c>
      <c r="R11" s="3" t="str">
        <f>DAILYLOADSURVEYBASEADDRESS_1phase</f>
        <v>1FB00</v>
      </c>
      <c r="S11" s="3"/>
    </row>
    <row r="12" spans="1:62" x14ac:dyDescent="0.25">
      <c r="B12" s="3" t="s">
        <v>60</v>
      </c>
      <c r="C12" s="3"/>
      <c r="D12" s="3">
        <v>1</v>
      </c>
      <c r="E12" s="3"/>
      <c r="F12" s="3" t="str">
        <f t="shared" si="1"/>
        <v>1FFBB</v>
      </c>
      <c r="G12" s="3" t="str">
        <f t="shared" si="0"/>
        <v>1FDC7</v>
      </c>
      <c r="H12" s="22"/>
      <c r="P12" s="3" t="s">
        <v>60</v>
      </c>
      <c r="Q12" s="3">
        <v>1</v>
      </c>
      <c r="R12" s="3" t="str">
        <f>DEC2HEX(SUM(Q11,HEX2DEC(R11)))</f>
        <v>1FB01</v>
      </c>
      <c r="S12" s="3"/>
    </row>
    <row r="13" spans="1:62" x14ac:dyDescent="0.25">
      <c r="B13" s="3" t="s">
        <v>61</v>
      </c>
      <c r="C13" s="3"/>
      <c r="D13" s="3">
        <v>1</v>
      </c>
      <c r="E13" s="3"/>
      <c r="F13" s="3" t="str">
        <f t="shared" si="1"/>
        <v>1FFBC</v>
      </c>
      <c r="G13" s="3" t="str">
        <f t="shared" si="0"/>
        <v>1FDC8</v>
      </c>
      <c r="H13" s="22"/>
      <c r="P13" s="3" t="s">
        <v>61</v>
      </c>
      <c r="Q13" s="3">
        <v>1</v>
      </c>
      <c r="R13" s="3" t="str">
        <f t="shared" ref="R13:R24" si="2">DEC2HEX(SUM(Q12,HEX2DEC(R12)))</f>
        <v>1FB02</v>
      </c>
      <c r="S13" s="3"/>
    </row>
    <row r="14" spans="1:62" x14ac:dyDescent="0.25">
      <c r="B14" s="3" t="s">
        <v>62</v>
      </c>
      <c r="C14" s="3"/>
      <c r="D14" s="3">
        <v>1</v>
      </c>
      <c r="E14" s="3"/>
      <c r="F14" s="3" t="str">
        <f t="shared" si="1"/>
        <v>1FFBD</v>
      </c>
      <c r="G14" s="3" t="str">
        <f t="shared" si="0"/>
        <v>1FDC9</v>
      </c>
      <c r="H14" s="22"/>
      <c r="P14" s="3" t="s">
        <v>62</v>
      </c>
      <c r="Q14" s="3">
        <v>1</v>
      </c>
      <c r="R14" s="3" t="str">
        <f t="shared" si="2"/>
        <v>1FB03</v>
      </c>
      <c r="S14" s="3"/>
    </row>
    <row r="15" spans="1:62" x14ac:dyDescent="0.25">
      <c r="B15" s="3" t="s">
        <v>51</v>
      </c>
      <c r="C15" s="3"/>
      <c r="D15" s="3">
        <v>1</v>
      </c>
      <c r="E15" s="3"/>
      <c r="F15" s="3" t="str">
        <f t="shared" si="1"/>
        <v>1FFBE</v>
      </c>
      <c r="G15" s="3" t="str">
        <f t="shared" si="0"/>
        <v>1FDCA</v>
      </c>
      <c r="H15" s="22"/>
      <c r="P15" s="3" t="s">
        <v>51</v>
      </c>
      <c r="Q15" s="3">
        <v>1</v>
      </c>
      <c r="R15" s="3" t="str">
        <f t="shared" si="2"/>
        <v>1FB04</v>
      </c>
      <c r="S15" s="3"/>
    </row>
    <row r="16" spans="1:62" x14ac:dyDescent="0.25">
      <c r="B16" s="3" t="s">
        <v>52</v>
      </c>
      <c r="C16" s="3"/>
      <c r="D16" s="3">
        <v>1</v>
      </c>
      <c r="E16" s="3"/>
      <c r="F16" s="3" t="str">
        <f t="shared" si="1"/>
        <v>1FFBF</v>
      </c>
      <c r="G16" s="3" t="str">
        <f t="shared" si="0"/>
        <v>1FDCB</v>
      </c>
      <c r="H16" s="22"/>
      <c r="I16">
        <f>SUM(D11:D21)</f>
        <v>12</v>
      </c>
      <c r="P16" s="3" t="s">
        <v>52</v>
      </c>
      <c r="Q16" s="3">
        <v>1</v>
      </c>
      <c r="R16" s="3" t="str">
        <f t="shared" si="2"/>
        <v>1FB05</v>
      </c>
      <c r="S16" s="3"/>
    </row>
    <row r="17" spans="2:21" x14ac:dyDescent="0.25">
      <c r="B17" s="3" t="s">
        <v>63</v>
      </c>
      <c r="C17" s="3"/>
      <c r="D17" s="3">
        <v>1</v>
      </c>
      <c r="E17" s="3"/>
      <c r="F17" s="3" t="str">
        <f t="shared" si="1"/>
        <v>1FFC0</v>
      </c>
      <c r="G17" s="3" t="str">
        <f t="shared" si="0"/>
        <v>1FDCC</v>
      </c>
      <c r="H17" s="22"/>
      <c r="P17" s="3" t="s">
        <v>63</v>
      </c>
      <c r="Q17" s="3">
        <v>1</v>
      </c>
      <c r="R17" s="3" t="str">
        <f t="shared" si="2"/>
        <v>1FB06</v>
      </c>
      <c r="S17" s="3"/>
    </row>
    <row r="18" spans="2:21" x14ac:dyDescent="0.25">
      <c r="B18" s="3" t="s">
        <v>64</v>
      </c>
      <c r="C18" s="3"/>
      <c r="D18" s="3">
        <v>1</v>
      </c>
      <c r="E18" s="3"/>
      <c r="F18" s="3" t="str">
        <f t="shared" si="1"/>
        <v>1FFC1</v>
      </c>
      <c r="G18" s="3" t="str">
        <f t="shared" si="0"/>
        <v>1FDCD</v>
      </c>
      <c r="H18" s="22"/>
      <c r="P18" s="3" t="s">
        <v>64</v>
      </c>
      <c r="Q18" s="3">
        <v>1</v>
      </c>
      <c r="R18" s="3" t="str">
        <f t="shared" si="2"/>
        <v>1FB07</v>
      </c>
      <c r="S18" s="3"/>
    </row>
    <row r="19" spans="2:21" x14ac:dyDescent="0.25">
      <c r="B19" s="3" t="s">
        <v>150</v>
      </c>
      <c r="C19" s="3"/>
      <c r="D19" s="3">
        <v>1</v>
      </c>
      <c r="E19" s="3"/>
      <c r="F19" s="3" t="str">
        <f t="shared" si="1"/>
        <v>1FFC2</v>
      </c>
      <c r="G19" s="3" t="str">
        <f t="shared" si="0"/>
        <v>1FDCE</v>
      </c>
      <c r="H19" s="22"/>
      <c r="P19" s="3" t="s">
        <v>147</v>
      </c>
      <c r="Q19" s="3">
        <v>1</v>
      </c>
      <c r="R19" s="3" t="str">
        <f t="shared" si="2"/>
        <v>1FB08</v>
      </c>
      <c r="S19" s="3"/>
      <c r="U19">
        <f>SUM(HEX2DEC(R24)-HEX2DEC(R11))</f>
        <v>20</v>
      </c>
    </row>
    <row r="20" spans="2:21" x14ac:dyDescent="0.25">
      <c r="B20" s="3" t="s">
        <v>148</v>
      </c>
      <c r="C20" s="3"/>
      <c r="D20" s="3">
        <v>2</v>
      </c>
      <c r="E20" s="3"/>
      <c r="F20" s="3" t="str">
        <f t="shared" si="1"/>
        <v>1FFC3</v>
      </c>
      <c r="G20" s="3" t="str">
        <f t="shared" si="0"/>
        <v>1FDCF</v>
      </c>
      <c r="H20" s="22"/>
      <c r="P20" s="3" t="s">
        <v>148</v>
      </c>
      <c r="Q20" s="3">
        <v>2</v>
      </c>
      <c r="R20" s="3" t="str">
        <f t="shared" si="2"/>
        <v>1FB09</v>
      </c>
      <c r="S20" s="3"/>
    </row>
    <row r="21" spans="2:21" x14ac:dyDescent="0.25">
      <c r="B21" s="3" t="s">
        <v>149</v>
      </c>
      <c r="C21" s="3"/>
      <c r="D21" s="3">
        <v>1</v>
      </c>
      <c r="E21" s="3"/>
      <c r="F21" s="3" t="str">
        <f t="shared" si="1"/>
        <v>1FFC5</v>
      </c>
      <c r="G21" s="3" t="str">
        <f t="shared" si="0"/>
        <v>1FDD1</v>
      </c>
      <c r="H21" s="22"/>
      <c r="P21" s="3" t="s">
        <v>149</v>
      </c>
      <c r="Q21" s="3">
        <v>1</v>
      </c>
      <c r="R21" s="3" t="str">
        <f t="shared" si="2"/>
        <v>1FB0B</v>
      </c>
      <c r="S21" s="3"/>
    </row>
    <row r="22" spans="2:21" x14ac:dyDescent="0.25">
      <c r="B22" s="28"/>
      <c r="F22" s="3" t="str">
        <f t="shared" si="1"/>
        <v>1FFC6</v>
      </c>
      <c r="G22" s="3" t="str">
        <f t="shared" si="0"/>
        <v>1FDD2</v>
      </c>
      <c r="P22" s="3" t="s">
        <v>1</v>
      </c>
      <c r="Q22" s="3">
        <v>4</v>
      </c>
      <c r="R22" s="3" t="str">
        <f>DEC2HEX(SUM(Q21,HEX2DEC(R21)))</f>
        <v>1FB0C</v>
      </c>
      <c r="S22" s="3"/>
    </row>
    <row r="23" spans="2:21" x14ac:dyDescent="0.25">
      <c r="B23" s="28"/>
      <c r="P23" s="3" t="s">
        <v>92</v>
      </c>
      <c r="Q23" s="3">
        <v>4</v>
      </c>
      <c r="R23" s="3" t="str">
        <f t="shared" si="2"/>
        <v>1FB10</v>
      </c>
      <c r="S23" s="3"/>
    </row>
    <row r="24" spans="2:21" ht="60" x14ac:dyDescent="0.25">
      <c r="P24" s="3"/>
      <c r="Q24" s="3">
        <v>4</v>
      </c>
      <c r="R24" s="3" t="str">
        <f t="shared" si="2"/>
        <v>1FB14</v>
      </c>
      <c r="S24" s="4" t="s">
        <v>143</v>
      </c>
    </row>
  </sheetData>
  <mergeCells count="3">
    <mergeCell ref="A1:G1"/>
    <mergeCell ref="B5:I5"/>
    <mergeCell ref="P9:S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R7"/>
  <sheetViews>
    <sheetView workbookViewId="0">
      <selection activeCell="P4" sqref="P4"/>
    </sheetView>
  </sheetViews>
  <sheetFormatPr defaultRowHeight="15" x14ac:dyDescent="0.25"/>
  <cols>
    <col min="2" max="2" width="11.85546875" customWidth="1"/>
    <col min="3" max="3" width="17.28515625" customWidth="1"/>
    <col min="4" max="4" width="14.7109375" customWidth="1"/>
    <col min="8" max="8" width="19.28515625" customWidth="1"/>
  </cols>
  <sheetData>
    <row r="3" spans="2:18" ht="60" x14ac:dyDescent="0.25">
      <c r="B3" s="76" t="s">
        <v>197</v>
      </c>
      <c r="C3" s="76"/>
      <c r="D3" s="76"/>
      <c r="E3" s="76"/>
      <c r="F3" s="76"/>
      <c r="O3" s="19" t="s">
        <v>344</v>
      </c>
      <c r="P3" t="str">
        <f>dailyload!F22</f>
        <v>1FFC6</v>
      </c>
      <c r="Q3" s="19" t="s">
        <v>343</v>
      </c>
      <c r="R3" s="7" t="str">
        <f>dailyload!G22</f>
        <v>1FDD2</v>
      </c>
    </row>
    <row r="5" spans="2:18" ht="60" x14ac:dyDescent="0.25">
      <c r="B5" s="2"/>
      <c r="C5" s="2" t="s">
        <v>132</v>
      </c>
      <c r="D5" s="9" t="s">
        <v>128</v>
      </c>
      <c r="E5" s="10" t="s">
        <v>3</v>
      </c>
      <c r="F5" s="10" t="s">
        <v>4</v>
      </c>
    </row>
    <row r="6" spans="2:18" x14ac:dyDescent="0.25">
      <c r="B6" t="s">
        <v>198</v>
      </c>
      <c r="C6">
        <v>2</v>
      </c>
      <c r="D6">
        <v>0</v>
      </c>
      <c r="E6" t="str">
        <f>R3</f>
        <v>1FDD2</v>
      </c>
      <c r="F6">
        <f>HEX2DEC(E6)</f>
        <v>130514</v>
      </c>
      <c r="H6" s="32" t="s">
        <v>199</v>
      </c>
    </row>
    <row r="7" spans="2:18" x14ac:dyDescent="0.25">
      <c r="B7" t="s">
        <v>224</v>
      </c>
      <c r="E7" t="str">
        <f>DEC2HEX(F7)</f>
        <v>1FDD4</v>
      </c>
      <c r="F7">
        <f>(F6+C6)</f>
        <v>130516</v>
      </c>
    </row>
  </sheetData>
  <mergeCells count="1"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Overview</vt:lpstr>
      <vt:lpstr>Event_logs</vt:lpstr>
      <vt:lpstr>block load survey</vt:lpstr>
      <vt:lpstr>activity_calendar</vt:lpstr>
      <vt:lpstr>billing_param</vt:lpstr>
      <vt:lpstr>Single Action</vt:lpstr>
      <vt:lpstr>Instataneous Param</vt:lpstr>
      <vt:lpstr>password</vt:lpstr>
      <vt:lpstr>misc</vt:lpstr>
      <vt:lpstr>dailyload</vt:lpstr>
      <vt:lpstr>Extra</vt:lpstr>
      <vt:lpstr>act_cal_base_address</vt:lpstr>
      <vt:lpstr>ADDR_OTHERS</vt:lpstr>
      <vt:lpstr>BILLING_SCHEDULE_ADDRESS_1PHASE</vt:lpstr>
      <vt:lpstr>BILLING_SCHEDULE_BASE_1PHASE</vt:lpstr>
      <vt:lpstr>BILLINGPARAMBASEADDRESS_1PHASE</vt:lpstr>
      <vt:lpstr>DAILYLOADSURVEYBASEADDRESS_1phase</vt:lpstr>
      <vt:lpstr>DLS_MAXDAYS</vt:lpstr>
      <vt:lpstr>DLS_MAXDAYS_60</vt:lpstr>
      <vt:lpstr>DLS_numbytestostore_1phase</vt:lpstr>
      <vt:lpstr>INSTANTANEOUS_BASEADDR_1PHASE</vt:lpstr>
      <vt:lpstr>LOAD_SURVEY_BASE_ADRESS</vt:lpstr>
      <vt:lpstr>LOAD_SURVEY_BASE_ADRESS_1phase</vt:lpstr>
      <vt:lpstr>LOADSURVEY_REF_ADDRESS</vt:lpstr>
      <vt:lpstr>numberofbytes_to_store_1phase</vt:lpstr>
      <vt:lpstr>numberofbytes_tostore_1phase</vt:lpstr>
      <vt:lpstr>PASSWORD_BASE_ADDRESS_1PHASE</vt:lpstr>
      <vt:lpstr>Event_logs!sizeof_event_buffer</vt:lpstr>
      <vt:lpstr>slots_per_day_1phase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2023-05-29T09:57:47Z</dcterms:modified>
</cp:coreProperties>
</file>